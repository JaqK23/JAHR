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tables/table6.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08"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534E1F3E8D9CDA95/Excel/Training/"/>
    </mc:Choice>
  </mc:AlternateContent>
  <xr:revisionPtr revIDLastSave="474" documentId="13_ncr:1_{21D5DB12-0FD7-4E01-8CB5-75DF61B8AF9D}" xr6:coauthVersionLast="47" xr6:coauthVersionMax="47" xr10:uidLastSave="{575F12F3-D845-4067-86E9-02DEF63DD0D9}"/>
  <bookViews>
    <workbookView xWindow="1815" yWindow="1815" windowWidth="38700" windowHeight="15345" activeTab="6" xr2:uid="{51E91FC2-F60B-4A22-949A-E0F6705C49F4}"/>
  </bookViews>
  <sheets>
    <sheet name="Info" sheetId="8" r:id="rId1"/>
    <sheet name="ActiveCases" sheetId="9" state="hidden" r:id="rId2"/>
    <sheet name="List" sheetId="7" r:id="rId3"/>
    <sheet name="A-Z" sheetId="2" r:id="rId4"/>
    <sheet name="Commands" sheetId="3" r:id="rId5"/>
    <sheet name="A" sheetId="4" r:id="rId6"/>
    <sheet name="B" sheetId="5" r:id="rId7"/>
    <sheet name="C" sheetId="10" r:id="rId8"/>
    <sheet name="Z" sheetId="6" r:id="rId9"/>
    <sheet name="CommandGroups" sheetId="11" r:id="rId10"/>
  </sheets>
  <functionGroups builtInGroupCount="19"/>
  <definedNames>
    <definedName name="_xleta.COLUMNS" hidden="1" xlm="1">#NAME?</definedName>
    <definedName name="_xleta.FIND" hidden="1" xlm="1">#NAME?</definedName>
    <definedName name="_xleta.NA" hidden="1" xlm="1">#NAME?</definedName>
    <definedName name="_xleta.NOT" hidden="1" xlm="1">#NAME?</definedName>
    <definedName name="_xleta.SUM" hidden="1" xlm="1">#NAME?</definedName>
    <definedName name="_xleta.XLOOKUP" hidden="1" xlm="1">#NAME?</definedName>
    <definedName name="_xlop.exclude" hidden="1" xlm="1">#NAME?</definedName>
    <definedName name="_xlop.sheetname" hidden="1" xlm="1">#NAME?</definedName>
    <definedName name="_xlpm.\\CommandName" hidden="1" xlm="1">#NAME?</definedName>
    <definedName name="_xlpm.\\Description" hidden="1" xlm="1">#NAME?</definedName>
    <definedName name="_xlpm.\\LambdaName" hidden="1" xlm="1">#NAME?</definedName>
    <definedName name="_xlpm._After" hidden="1" xlm="1">#NAME?</definedName>
    <definedName name="_xlpm._array" hidden="1" xlm="1">#NAME?</definedName>
    <definedName name="_xlpm._Before" hidden="1" xlm="1">#NAME?</definedName>
    <definedName name="_xlpm._Cells" hidden="1" xlm="1">#NAME?</definedName>
    <definedName name="_xlpm._Codes" hidden="1" xlm="1">#NAME?</definedName>
    <definedName name="_xlpm._Count" hidden="1" xlm="1">#NAME?</definedName>
    <definedName name="_xlpm._countif" hidden="1" xlm="1">#NAME?</definedName>
    <definedName name="_xlpm._Distance" hidden="1" xlm="1">#NAME?</definedName>
    <definedName name="_xlpm._filtered" hidden="1" xlm="1">#NAME?</definedName>
    <definedName name="_xlpm._GetAddresses" hidden="1" xlm="1">#NAME?</definedName>
    <definedName name="_xlpm._include" hidden="1" xlm="1">#NAME?</definedName>
    <definedName name="_xlpm._InRows" hidden="1" xlm="1">#NAME?</definedName>
    <definedName name="_xlpm._PackSumsTable" hidden="1" xlm="1">#NAME?</definedName>
    <definedName name="_xlpm._Result" hidden="1" xlm="1">#NAME?</definedName>
    <definedName name="_xlpm._rows" hidden="1" xlm="1">#NAME?</definedName>
    <definedName name="_xlpm._SpeedsSpeed" hidden="1" xlm="1">#NAME?</definedName>
    <definedName name="_xlpm._SpeedsT" hidden="1" xlm="1">#NAME?</definedName>
    <definedName name="_xlpm._SpeedsTa" hidden="1" xlm="1">#NAME?</definedName>
    <definedName name="_xlpm._SpeedsTab" hidden="1" xlm="1">#NAME?</definedName>
    <definedName name="_xlpm._SpeedsTabl" hidden="1" xlm="1">#NAME?</definedName>
    <definedName name="_xlpm._SpeedsTable" hidden="1" xlm="1">#NAME?</definedName>
    <definedName name="_xlpm._SpeedsTe" hidden="1" xlm="1">#NAME?</definedName>
    <definedName name="_xlpm._SpeedsTer" hidden="1" xlm="1">#NAME?</definedName>
    <definedName name="_xlpm._SpeedsTerr" hidden="1" xlm="1">#NAME?</definedName>
    <definedName name="_xlpm._Terrain" hidden="1" xlm="1">#NAME?</definedName>
    <definedName name="_xlpm._TerrSpeed" hidden="1" xlm="1">#NAME?</definedName>
    <definedName name="_xlpm._TimeAtBaseSpeed" hidden="1" xlm="1">#NAME?</definedName>
    <definedName name="_xlpm._TotalBaseTime" hidden="1" xlm="1">#NAME?</definedName>
    <definedName name="_xlpm._unique" hidden="1" xlm="1">#NAME?</definedName>
    <definedName name="_xlpm.a" hidden="1" xlm="1">#NAME?</definedName>
    <definedName name="_xlpm.accum" hidden="1" xlm="1">#NAME?</definedName>
    <definedName name="_xlpm.addarr" hidden="1" xlm="1">#NAME?</definedName>
    <definedName name="_xlpm.addr" hidden="1" xlm="1">#NAME?</definedName>
    <definedName name="_xlpm.addresses" hidden="1" xlm="1">#NAME?</definedName>
    <definedName name="_xlpm.adds" hidden="1" xlm="1">#NAME?</definedName>
    <definedName name="_xlpm.ar" hidden="1" xlm="1">#NAME?</definedName>
    <definedName name="_xlpm.arr" hidden="1" xlm="1">#NAME?</definedName>
    <definedName name="_xlpm.arra" hidden="1" xlm="1">#NAME?</definedName>
    <definedName name="_xlpm.array" hidden="1" xlm="1">#NAME?</definedName>
    <definedName name="_xlpm.arrow" hidden="1" xlm="1">#NAME?</definedName>
    <definedName name="_xlpm.Arrows" hidden="1" xlm="1">#NAME?</definedName>
    <definedName name="_xlpm.Arrowsx" hidden="1" xlm="1">#NAME?</definedName>
    <definedName name="_xlpm.Arrowsy" hidden="1" xlm="1">#NAME?</definedName>
    <definedName name="_xlpm.botcommandnames" hidden="1" xlm="1">#NAME?</definedName>
    <definedName name="_xlpm.botcommands" hidden="1" xlm="1">#NAME?</definedName>
    <definedName name="_xlpm.c" hidden="1" xlm="1">#NAME?</definedName>
    <definedName name="_xlpm.CardComment" hidden="1" xlm="1">#NAME?</definedName>
    <definedName name="_xlpm.CardInd" hidden="1" xlm="1">#NAME?</definedName>
    <definedName name="_xlpm.Cards" hidden="1" xlm="1">#NAME?</definedName>
    <definedName name="_xlpm.cases" hidden="1" xlm="1">#NAME?</definedName>
    <definedName name="_xlpm.caseSpecific" hidden="1" xlm="1">#NAME?</definedName>
    <definedName name="_xlpm.check" hidden="1" xlm="1">#NAME?</definedName>
    <definedName name="_xlpm.cnt" hidden="1" xlm="1">#NAME?</definedName>
    <definedName name="_xlpm.code" hidden="1" xlm="1">#NAME?</definedName>
    <definedName name="_xlpm.codes" hidden="1" xlm="1">#NAME?</definedName>
    <definedName name="_xlpm.colheaders" hidden="1" xlm="1">#NAME?</definedName>
    <definedName name="_xlpm.coll" hidden="1" xlm="1">#NAME?</definedName>
    <definedName name="_xlpm.collet" hidden="1" xlm="1">#NAME?</definedName>
    <definedName name="_xlpm.collRaw" hidden="1" xlm="1">#NAME?</definedName>
    <definedName name="_xlpm.colls" hidden="1" xlm="1">#NAME?</definedName>
    <definedName name="_xlpm.column_indexes" hidden="1" xlm="1">#NAME?</definedName>
    <definedName name="_xlpm.commands" hidden="1" xlm="1">#NAME?</definedName>
    <definedName name="_xlpm.count" hidden="1" xlm="1">#NAME?</definedName>
    <definedName name="_xlpm.cs" hidden="1" xlm="1">#NAME?</definedName>
    <definedName name="_xlpm.d" hidden="1" xlm="1">#NAME?</definedName>
    <definedName name="_xlpm.data" hidden="1" xlm="1">#NAME?</definedName>
    <definedName name="_xlpm.dataarea" hidden="1" xlm="1">#NAME?</definedName>
    <definedName name="_xlpm.desc" hidden="1" xlm="1">#NAME?</definedName>
    <definedName name="_xlpm.descs" hidden="1" xlm="1">#NAME?</definedName>
    <definedName name="_xlpm.exclude" hidden="1" xlm="1">#NAME?</definedName>
    <definedName name="_xlpm.filter_values" hidden="1" xlm="1">#NAME?</definedName>
    <definedName name="_xlpm.find" hidden="1" xlm="1">#NAME?</definedName>
    <definedName name="_xlpm.full" hidden="1" xlm="1">#NAME?</definedName>
    <definedName name="_xlpm.fullrange" hidden="1" xlm="1">#NAME?</definedName>
    <definedName name="_xlpm.function" hidden="1" xlm="1">#NAME?</definedName>
    <definedName name="_xlpm.g" hidden="1" xlm="1">#NAME?</definedName>
    <definedName name="_xlpm.games" hidden="1" xlm="1">#NAME?</definedName>
    <definedName name="_xlpm.grp" hidden="1" xlm="1">#NAME?</definedName>
    <definedName name="_xlpm.input_array" hidden="1" xlm="1">#NAME?</definedName>
    <definedName name="_xlpm.k" hidden="1" xlm="1">#NAME?</definedName>
    <definedName name="_xlpm.keep" hidden="1" xlm="1">#NAME?</definedName>
    <definedName name="_xlpm.list" hidden="1" xlm="1">#NAME?</definedName>
    <definedName name="_xlpm.log" hidden="1" xlm="1">#NAME?</definedName>
    <definedName name="_xlpm.LookupRange" hidden="1" xlm="1">#NAME?</definedName>
    <definedName name="_xlpm.LookupValue" hidden="1" xlm="1">#NAME?</definedName>
    <definedName name="_xlpm.m" hidden="1" xlm="1">#NAME?</definedName>
    <definedName name="_xlpm.members" hidden="1" xlm="1">#NAME?</definedName>
    <definedName name="_xlpm.n" hidden="1" xlm="1">#NAME?</definedName>
    <definedName name="_xlpm.name" hidden="1" xlm="1">#NAME?</definedName>
    <definedName name="_xlpm.new" hidden="1" xlm="1">#NAME?</definedName>
    <definedName name="_xlpm.newcell" hidden="1" xlm="1">#NAME?</definedName>
    <definedName name="_xlpm.nm" hidden="1" xlm="1">#NAME?</definedName>
    <definedName name="_xlpm.nmRaw" hidden="1" xlm="1">#NAME?</definedName>
    <definedName name="_xlpm.onBoard" hidden="1" xlm="1">#NAME?</definedName>
    <definedName name="_xlpm.out" hidden="1" xlm="1">#NAME?</definedName>
    <definedName name="_xlpm.pack_weight" hidden="1" xlm="1">#NAME?</definedName>
    <definedName name="_xlpm.r" hidden="1" xlm="1">#NAME?</definedName>
    <definedName name="_xlpm.ra" hidden="1" xlm="1">#NAME?</definedName>
    <definedName name="_xlpm.ran" hidden="1" xlm="1">#NAME?</definedName>
    <definedName name="_xlpm.random" hidden="1" xlm="1">#NAME?</definedName>
    <definedName name="_xlpm.rang" hidden="1" xlm="1">#NAME?</definedName>
    <definedName name="_xlpm.range" hidden="1" xlm="1">#NAME?</definedName>
    <definedName name="_xlpm.Result" hidden="1" xlm="1">#NAME?</definedName>
    <definedName name="_xlpm.rng" hidden="1" xlm="1">#NAME?</definedName>
    <definedName name="_xlpm.row" hidden="1" xlm="1">#NAME?</definedName>
    <definedName name="_xlpm.rowheaders" hidden="1" xlm="1">#NAME?</definedName>
    <definedName name="_xlpm.rowsPer" hidden="1" xlm="1">#NAME?</definedName>
    <definedName name="_xlpm.s" hidden="1" xlm="1">#NAME?</definedName>
    <definedName name="_xlpm.sheetname" hidden="1" xlm="1">#NAME?</definedName>
    <definedName name="_xlpm.sheetNo" hidden="1" xlm="1">#NAME?</definedName>
    <definedName name="_xlpm.startcol" hidden="1" xlm="1">#NAME?</definedName>
    <definedName name="_xlpm.starting_cell" hidden="1" xlm="1">#NAME?</definedName>
    <definedName name="_xlpm.startrow" hidden="1" xlm="1">#NAME?</definedName>
    <definedName name="_xlpm.TerrainArray" hidden="1" xlm="1">#NAME?</definedName>
    <definedName name="_xlpm.ug" hidden="1" xlm="1">#NAME?</definedName>
    <definedName name="_xlpm.unqcasespecific" hidden="1" xlm="1">#NAME?</definedName>
    <definedName name="_xlpm.unqcollection" hidden="1" xlm="1">#NAME?</definedName>
    <definedName name="_xlpm.unqcommandnames" hidden="1" xlm="1">#NAME?</definedName>
    <definedName name="_xlpm.unqcommands" hidden="1" xlm="1">#NAME?</definedName>
    <definedName name="_xlpm.unqcount" hidden="1" xlm="1">#NAME?</definedName>
    <definedName name="_xlpm.unqcounts" hidden="1" xlm="1">#NAME?</definedName>
    <definedName name="_xlpm.unqdesc" hidden="1" xlm="1">#NAME?</definedName>
    <definedName name="_xlpm.unqout" hidden="1" xlm="1">#NAME?</definedName>
    <definedName name="_xlpm.unqshortcut" hidden="1" xlm="1">#NAME?</definedName>
    <definedName name="_xlpm.uses" hidden="1" xlm="1">#NAME?</definedName>
    <definedName name="_xlpm.v" hidden="1" xlm="1">#NAME?</definedName>
    <definedName name="_xlpm.va" hidden="1" xlm="1">#NAME?</definedName>
    <definedName name="_xlpm.val" hidden="1" xlm="1">#NAME?</definedName>
    <definedName name="_xlpm.vals" hidden="1" xlm="1">#NAME?</definedName>
    <definedName name="_xlpm.valu" hidden="1" xlm="1">#NAME?</definedName>
    <definedName name="_xlpm.value" hidden="1" xlm="1">#NAME?</definedName>
    <definedName name="_xlpm.values" hidden="1" xlm="1">#NAME?</definedName>
    <definedName name="_xlpm.x" hidden="1" xlm="1">#NAME?</definedName>
    <definedName name="_xlpm.xmove" hidden="1" xlm="1">#NAME?</definedName>
    <definedName name="_xlpm.xmoveunit" hidden="1" xlm="1">#NAME?</definedName>
    <definedName name="_xlpm.y" hidden="1" xlm="1">#NAME?</definedName>
    <definedName name="_xlpm.ymove" hidden="1" xlm="1">#NAME?</definedName>
    <definedName name="_xlpm.ymoveunit" hidden="1" xlm="1">#NAME?</definedName>
    <definedName name="Actual_used">'A-Z'!$E$3</definedName>
    <definedName name="AddressLookup" comment="Looks up an address from a range with columns in row 1 and rows in column 1.  ">_xlfn.LAMBDA(_xlpm.addr,_xlpm.fullrange, _xlfn.LET(
   _xlpm.\\LambdaName, "AddressLookup",
   _xlpm.\\CommandName, "Address Lookup",
   _xlpm.\\Description, "Looks up an address from a range with columns in row 1 and rows in column 1",
   _xlpm.colheaders, _xlfn.DROP(_xlfn.TAKE(_xlpm.fullrange, 1), , 1),
   _xlpm.rowheaders, _xlfn.DROP(_xlfn.TAKE(_xlpm.fullrange, , 1), 1),
   _xlpm.dataarea, _xlfn.DROP(_xlpm.fullrange, 1, 1),
   _xlpm.addresses, _xlfn.TOCOL(_xlpm.colheaders &amp; _xlpm.rowheaders),
   _xlpm.values, _xlfn.TOCOL(_xlpm.dataarea),
   _xlfn.XLOOKUP(_xlpm.addr, _xlpm.addresses, _xlpm.values)
))</definedName>
    <definedName name="ALOOKUP">_xlfn.LAMBDA(_xlpm.LookupValue,_xlpm.LookupRange, _xlfn.LET(
   _xlpm._GetAddresses, GetAddress((_xlpm.LookupRange)),
   _xlpm._Result, _xlfn._xlws.FILTER(_xlfn.TOCOL(_xlpm._GetAddresses), _xlfn.TOCOL(_xlpm.LookupRange) = _xlpm.LookupValue),
   _xlpm._Result
))</definedName>
    <definedName name="ArrayDistances">_xlfn.LAMBDA(_xlpm.TerrainArray, _xlfn.LET(
   _xlpm.\\LambdaName, "ArrayDistances",
   _xlpm._Cells, _xlfn.CHOOSECOLS(_xlpm.TerrainArray, 2),
   _xlpm._Result, _xlpm._Cells / 2,
   _xlpm._Result
))</definedName>
    <definedName name="ARROWSHIFT" xml:space="preserve"> 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BiRow_byPeterBartholomew" comment="BiRow function as defined by Peter Bartholomew">_xlfn.LAMBDA(_xlpm.array,_xlpm.function,_xlfn.LET(_xlpm.\\LambdaName, "BiRow_byPeterBartholomew", _xlpm.\\CommandName, "Perform array function by row", _xlpm.\\Description, "attributed to Peter Bartholomew: https://techcommunity.microsoft.com/discussions/excelgeneral/recursive-lambda-implementation-of-excels-reduce-function-/3949754/replies/3952653#M207809", _xlpm._rows, ROWS(_xlpm.array), _xlpm.Result, IF(_xlpm._rows = 1, _xlpm.function(_xlpm.array), _xlfn.VSTACK(BiRow_byPeterBartholomew(_xlfn.TAKE(_xlpm.array, ROWS(_xlpm.array) / 2), _xlpm.function), BiRow_byPeterBartholomew(_xlfn.DROP(_xlpm.array, ROWS(_xlpm.array) / 2), _xlpm.function))), _xlpm.Result))</definedName>
    <definedName name="CountEachUniqueValue" xml:space="preserve"> _xlfn.LAMBDA(_xlpm.array,_xlop.exclude, _xlfn.LET(
   _xlpm.\\LambdaName, "CountUniqueValues",
   _xlpm.\\CommandName, "Count Unique Values",
   _xlpm.\\Description, "Returns counts of each unique value in array.",
   _xlpm._unique, _xlfn.UNIQUE(_xlfn.TOCOL(IF(_xlpm.array = "", "", _xlpm.array))),
   _xlpm._include, _xlfn.BYROW(_xlpm._unique &lt;&gt; _xlfn.TOROW(_xlpm.exclude), _xlfn.LAMBDA(_xlpm.x, PRODUCT(N(_xlpm.x)))),
   _xlpm._filtered, IF(_xlfn.ISOMITTED(_xlpm.exclude), _xlpm._unique, _xlfn._xlws.FILTER(_xlpm._unique, _xlpm._include)),
   _xlpm._countif, _xlfn.MAP(_xlpm._filtered, _xlfn.LAMBDA(_xlpm.x, SUM(--(_xlpm.array = _xlpm.x)))),
   _xlpm.Result, _xlfn.SORTBY(_xlfn.HSTACK(_xlpm._filtered, _xlpm._countif), _xlpm._countif, -1),
   _xlpm.Result
))</definedName>
    <definedName name="CountErrors" comment="Counts Errors in an array / range.  ">_xlfn.LAMBDA(_xlpm._array, _xlfn.LET(
   _xlpm.\\LambdaName, "CountErrors",
   _xlpm.\\CommandName, "Count Errors",
   _xlpm.\\Description, "Counts Errors in an array / range",
   SUM(IF(ISERROR(_xlpm._array), 1, 0))
))</definedName>
    <definedName name="CumPack">B!$O$2:$P$17</definedName>
    <definedName name="ExternalData_1" localSheetId="1" hidden="1">ActiveCases!$B$2:$F$180</definedName>
    <definedName name="ExternalData_2" localSheetId="2" hidden="1">List!$B$4:$G$182</definedName>
    <definedName name="EZINDARR_byLiannaGerrish" comment="Applies INDIRECT to array.  ">_xlfn.LAMBDA(_xlpm.addarr,_xlop.sheetname, _xlfn.LET(
   _xlpm.\\LambdaName, "EZINDARR_byLiannaGerrish",
   _xlpm.\\Description, "Applies INDIRECT to array",
   IFERROR(
      _xlfn.MAP(
         _xlpm.addarr,
         _xlfn.LAMBDA(_xlpm.a,
            IF(
               OR(_xlfn.ISOMITTED(_xlpm.sheetname), _xlpm.sheetname = ""),
               INDIRECT(_xlpm.a),
               INDIRECT("'" &amp; _xlpm.sheetname &amp; "'!" &amp; _xlpm.a)
            )
         )
      ),
      ""
   )
))</definedName>
    <definedName name="FilterArray" xml:space="preserve">     _xlfn.LAMBDA(_xlpm.data,_xlpm.column_indexes,_xlpm.filter_values,_xlfn.LET(
   _xlpm.\\LambdaName, "FilterArray",
_xlfn._xlws.FILTER(_xlpm.data,_xlfn.BYROW(IsInList(_xlfn.CHOOSECOLS(_xlpm.data,_xlpm.column_indexes),_xlpm.filter_values),_xlfn.LAMBDA(_xlpm.x,AND(_xlpm.x)))))
)</definedName>
    <definedName name="GetAddress" comment="Gets the address of the range referenced in the cell.  ">_xlfn.LAMBDA(_xlpm.rng, _xlfn.LET(
   _xlpm.\\LambdaName, "GetAddress",
   _xlpm.\\CommandName, "Get Address",
   _xlpm.\\Description, "Gets the address of the range referenced in the cell",
   ADDRESS(ROW(_xlpm.rng), COLUMN(_xlpm.rng), 4)
))</definedName>
    <definedName name="GetAddressesByLookup" comment="Gets addresses of cells with a given value.  ">_xlfn.LAMBDA(_xlpm.LookupValue,_xlpm.LookupRange, _xlfn.LET(
   _xlpm.\\LambdaName, "GetAddressesByLookup",
   _xlpm.\\Description, "Gets addresses of cells with a given value",
   _xlpm._GetAddresses, GetAddress((_xlpm.LookupRange)),
   _xlpm._Result, _xlfn._xlws.FILTER(_xlfn.TOCOL(_xlpm._GetAddresses), _xlfn.TOCOL(_xlpm.LookupRange) = _xlpm.LookupValue),
   _xlpm._Result
))</definedName>
    <definedName name="IsInList">_xlfn.LAMBDA(_xlpm.array,_xlpm.list,_xlfn.LET(_xlpm.\\LambdaName, "IsInList", _xlfn.MAP(_xlpm.array, _xlfn.LAMBDA(_xlpm.x, OR(_xlpm.list = _xlpm.x)))))</definedName>
    <definedName name="Letters">_xlfn.LAMBDA(_xlfn.LET(_xlpm.\\LambdaName, "Letters", _xlpm._Codes, CHAR(_xlfn.SEQUENCE(26) + 64), _xlpm._Codes))</definedName>
    <definedName name="Movement">_xlfn.LAMBDA(_xlpm.input_array,_xlfn.LET(_xlpm._InRows, ROWS(_xlpm.input_array) &gt; 1, _xlpm._Count, IF(_xlpm._InRows, ROWS(_xlpm.input_array), COLUMNS(_xlpm.input_array)), _xlpm._After, _xlfn.DROP(_xlpm.input_array, IF(_xlpm._InRows, 1, 0), IF(_xlpm._InRows, 0, 1)), _xlpm._Before, _xlfn.TAKE(_xlpm.input_array, IF(_xlpm._InRows, _xlpm._Count - 1, 1), IF(_xlpm._InRows, 1, _xlpm._Count - 1)), _xlpm._Result, IF(_xlpm._After &gt; _xlpm._Before, "UP", IF(_xlpm._After &lt; _xlpm._Before, "DOWN", "SAME")), _xlpm._Result))</definedName>
    <definedName name="NotInList">_xlfn.LAMBDA(_xlpm.array,_xlpm.list,_xlfn.LET(_xlpm.\\LambdaName, "NotInList", _xlfn._xlws.FILTER(_xlpm.array, NOT(IsInList(_xlpm.array, _xlpm.list)))))</definedName>
    <definedName name="PackWeight">_xlfn.LAMBDA(_xlpm.TerrainArray, _xlfn.LET(
   _xlpm.\\LambdaName, "PackWeight",
   _xlpm._SpeedsTerr, Speeds[Terrain],
   _xlpm._SpeedsSpeed, Speeds[Speed],
   _xlpm._Terrain, TRIM(_xlfn.CHOOSECOLS(_xlpm.TerrainArray, 1)),
   _xlpm._Cells, _xlfn.CHOOSECOLS(_xlpm.TerrainArray, 2),
   _xlpm._Distance, _xlpm._Cells / 2,
   _xlpm._TerrSpeed, _xlfn.MAP(_xlpm._Terrain, _xlfn.LAMBDA(_xlpm.name, _xlfn.XLOOKUP(_xlpm.name, _xlpm._SpeedsTerr, _xlpm._SpeedsSpeed, , 0))),
   _xlpm._TimeAtBaseSpeed, _xlpm._Distance / _xlpm._TerrSpeed,
   _xlpm._PackSumsTable, CumPack,
   _xlpm._TotalBaseTime, SUM(_xlpm._TimeAtBaseSpeed),
   _xlpm._Result, VLOOKUP(_xlpm._TotalBaseTime, _xlpm._PackSumsTable, 2),
   _xlpm._Result
))</definedName>
    <definedName name="PackWeightMult">_xlfn.LAMBDA(_xlpm.pack_weight,_xlfn.LET(_xlpm.\\LambdaName, "PackWeightMult", 1 - (_xlpm.pack_weight / 10000)))</definedName>
    <definedName name="Random">'A-Z'!$C$3</definedName>
    <definedName name="Select_Your_Access">List!$C$2</definedName>
    <definedName name="TerrainBaseSpeed">_xlfn.LAMBDA(_xlpm.TerrainArray, _xlfn.LET(
   _xlpm.\\LambdaName, "TerrainBaseSpeed",
   _xlpm._SpeedsTerr, Speeds[Terrain],
   _xlpm._SpeedsSpeed, Speeds[Speed],
   _xlpm._Terrain, _xlfn.CHOOSECOLS(_xlpm.TerrainArray, 1),
   _xlpm._Result, _xlfn.MAP(_xlpm._Terrain, _xlfn.LAMBDA(_xlpm.name, _xlfn.XLOOKUP(_xlpm.name, _xlpm._SpeedsTerr, _xlpm._SpeedsSpeed, , 0))),
   _xlpm._Result
))</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 i="2" l="1"/>
  <c r="L6" i="2"/>
  <c r="C5" i="3" a="1"/>
  <c r="I2" i="10"/>
  <c r="I2" i="6"/>
  <c r="L5" i="6" a="1"/>
  <c r="L5" i="10" a="1"/>
  <c r="B5" i="10" a="1"/>
  <c r="I6" i="2"/>
  <c r="L5" i="5" l="1" a="1"/>
  <c r="L5" i="2"/>
  <c r="K5" i="2" l="1"/>
  <c r="N29" i="2" l="1"/>
  <c r="N28" i="2"/>
  <c r="N27" i="2"/>
  <c r="N26" i="2"/>
  <c r="N25" i="2"/>
  <c r="N24" i="2"/>
  <c r="N23" i="2"/>
  <c r="N22" i="2"/>
  <c r="N21" i="2"/>
  <c r="N20" i="2"/>
  <c r="N19" i="2"/>
  <c r="N18" i="2"/>
  <c r="N17" i="2"/>
  <c r="N16" i="2"/>
  <c r="N15" i="2"/>
  <c r="N14" i="2"/>
  <c r="N13" i="2"/>
  <c r="N12" i="2"/>
  <c r="N11" i="2"/>
  <c r="N10" i="2"/>
  <c r="N9" i="2"/>
  <c r="N8" i="2"/>
  <c r="N7" i="2"/>
  <c r="N5" i="2"/>
  <c r="N4" i="2"/>
  <c r="N6" i="2"/>
  <c r="Q29" i="2"/>
  <c r="P29" i="2"/>
  <c r="O29" i="2"/>
  <c r="Q28" i="2"/>
  <c r="P28" i="2"/>
  <c r="O28" i="2"/>
  <c r="Q27" i="2"/>
  <c r="P27" i="2"/>
  <c r="O27" i="2"/>
  <c r="Q26" i="2"/>
  <c r="P26" i="2"/>
  <c r="O26" i="2"/>
  <c r="Q25" i="2"/>
  <c r="P25" i="2"/>
  <c r="O25" i="2"/>
  <c r="Q24" i="2"/>
  <c r="P24" i="2"/>
  <c r="O24" i="2"/>
  <c r="Q23" i="2"/>
  <c r="P23" i="2"/>
  <c r="O23" i="2"/>
  <c r="Q22" i="2"/>
  <c r="P22" i="2"/>
  <c r="O22" i="2"/>
  <c r="Q21" i="2"/>
  <c r="P21" i="2"/>
  <c r="O21" i="2"/>
  <c r="Q20" i="2"/>
  <c r="P20" i="2"/>
  <c r="O20" i="2"/>
  <c r="Q19" i="2"/>
  <c r="P19" i="2"/>
  <c r="O19" i="2"/>
  <c r="Q18" i="2"/>
  <c r="P18" i="2"/>
  <c r="O18" i="2"/>
  <c r="Q17" i="2"/>
  <c r="P17" i="2"/>
  <c r="O17" i="2"/>
  <c r="Q16" i="2"/>
  <c r="P16" i="2"/>
  <c r="O16" i="2"/>
  <c r="Q15" i="2"/>
  <c r="P15" i="2"/>
  <c r="O15" i="2"/>
  <c r="Q14" i="2"/>
  <c r="P14" i="2"/>
  <c r="O14" i="2"/>
  <c r="Q13" i="2"/>
  <c r="P13" i="2"/>
  <c r="O13" i="2"/>
  <c r="Q12" i="2"/>
  <c r="P12" i="2"/>
  <c r="O12" i="2"/>
  <c r="Q11" i="2"/>
  <c r="P11" i="2"/>
  <c r="O11" i="2"/>
  <c r="Q10" i="2"/>
  <c r="P10" i="2"/>
  <c r="O10" i="2"/>
  <c r="Q9" i="2"/>
  <c r="P9" i="2"/>
  <c r="O9" i="2"/>
  <c r="Q8" i="2"/>
  <c r="P8" i="2"/>
  <c r="O8" i="2"/>
  <c r="Q7" i="2"/>
  <c r="P7" i="2"/>
  <c r="O7" i="2"/>
  <c r="Q6" i="2"/>
  <c r="P6" i="2"/>
  <c r="O6" i="2"/>
  <c r="Q5" i="2"/>
  <c r="P5" i="2"/>
  <c r="B5" i="6" l="1" a="1"/>
  <c r="B5" i="5" l="1" a="1"/>
  <c r="B5" i="4" l="1" a="1"/>
  <c r="I5" i="2"/>
  <c r="O5" i="2" s="1"/>
  <c r="L4" i="2"/>
  <c r="Q4" i="2" s="1"/>
  <c r="K4" i="2"/>
  <c r="P4" i="2" s="1"/>
  <c r="I4" i="2"/>
  <c r="O4" i="2" s="1"/>
  <c r="H4" i="2"/>
  <c r="F4" i="2" a="1"/>
  <c r="B4" i="2" a="1"/>
  <c r="F2" i="2" l="1"/>
  <c r="C4" i="2" a="1"/>
  <c r="C5" i="2" a="1"/>
  <c r="C6" i="2" a="1"/>
  <c r="C7" i="2" a="1"/>
  <c r="C8" i="2" a="1"/>
  <c r="C9" i="2" a="1"/>
  <c r="C10" i="2" a="1"/>
  <c r="C11" i="2" a="1"/>
  <c r="C12" i="2" a="1"/>
  <c r="C13" i="2" a="1"/>
  <c r="C14" i="2" a="1"/>
  <c r="C15" i="2" a="1"/>
  <c r="C16" i="2" a="1"/>
  <c r="C17" i="2" a="1"/>
  <c r="C18" i="2" a="1"/>
  <c r="C19" i="2" a="1"/>
  <c r="C20" i="2" a="1"/>
  <c r="C21" i="2" a="1"/>
  <c r="C22" i="2" a="1"/>
  <c r="C23" i="2" a="1"/>
  <c r="C24" i="2" a="1"/>
  <c r="C25" i="2" a="1"/>
  <c r="C26" i="2" a="1"/>
  <c r="C27" i="2" a="1"/>
  <c r="C28" i="2" a="1"/>
  <c r="C29" i="2" a="1"/>
  <c r="D4" i="2" l="1" a="1"/>
  <c r="D2" i="2" s="1"/>
  <c r="B5" i="3" l="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tc={8FF22592-6C8A-4AE0-A2D5-3E3A95DBF971}</author>
  </authors>
  <commentList>
    <comment ref="E3" authorId="0" shapeId="0" xr:uid="{8FF22592-6C8A-4AE0-A2D5-3E3A95DBF971}">
      <text>
        <t>[Threaded comment]
Your version of Excel allows you to read this threaded comment; however, any edits to it will get removed if the file is opened in a newer version of Excel. Learn more: https://go.microsoft.com/fwlink/?linkid=870924
Comment:
    Delete the values below to use this for your own cases!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tc={40B7A229-4663-4639-9C98-306FA3F2BD0E}</author>
  </authors>
  <commentList>
    <comment ref="G4" authorId="0" shapeId="0" xr:uid="{40B7A229-4663-4639-9C98-306FA3F2BD0E}">
      <text>
        <t>[Threaded comment]
Your version of Excel allows you to read this threaded comment; however, any edits to it will get removed if the file is opened in a newer version of Excel. Learn more: https://go.microsoft.com/fwlink/?linkid=870924
Comment:
    Not useful outside of the case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tc={AC02A232-9335-4123-8357-BC54946A92D0}</author>
  </authors>
  <commentList>
    <comment ref="H4" authorId="0" shapeId="0" xr:uid="{AC02A232-9335-4123-8357-BC54946A92D0}">
      <text>
        <t>[Threaded comment]
Your version of Excel allows you to read this threaded comment; however, any edits to it will get removed if the file is opened in a newer version of Excel. Learn more: https://go.microsoft.com/fwlink/?linkid=870924
Comment:
    Not useful outside of this case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tc={8F9B88FA-CD3E-4C2F-B435-DF0B4BC5F724}</author>
  </authors>
  <commentList>
    <comment ref="H4" authorId="0" shapeId="0" xr:uid="{8F9B88FA-CD3E-4C2F-B435-DF0B4BC5F724}">
      <text>
        <t>[Threaded comment]
Your version of Excel allows you to read this threaded comment; however, any edits to it will get removed if the file is opened in a newer version of Excel. Learn more: https://go.microsoft.com/fwlink/?linkid=870924
Comment:
    Not useful outside of this case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tc={1B8394AC-2755-4F8F-8477-C5C15443B828}</author>
  </authors>
  <commentList>
    <comment ref="H4" authorId="0" shapeId="0" xr:uid="{1B8394AC-2755-4F8F-8477-C5C15443B828}">
      <text>
        <t>[Threaded comment]
Your version of Excel allows you to read this threaded comment; however, any edits to it will get removed if the file is opened in a newer version of Excel. Learn more: https://go.microsoft.com/fwlink/?linkid=870924
Comment:
    Not useful outside of this case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tc={9113FCB4-D163-41A3-A3A2-EC33483F7A43}</author>
  </authors>
  <commentList>
    <comment ref="H4" authorId="0" shapeId="0" xr:uid="{9113FCB4-D163-41A3-A3A2-EC33483F7A43}">
      <text>
        <t>[Threaded comment]
Your version of Excel allows you to read this threaded comment; however, any edits to it will get removed if the file is opened in a newer version of Excel. Learn more: https://go.microsoft.com/fwlink/?linkid=870924
Comment:
    Not useful outside of this case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61DD837-0F80-40EF-B27D-2DA6638C79AE}" keepAlive="1" name="Query - ActiveCases" description="Connection to the 'ActiveCases' query in the workbook." type="5" refreshedVersion="8" background="1" saveData="1">
    <dbPr connection="Provider=Microsoft.Mashup.OleDb.1;Data Source=$Workbook$;Location=ActiveCases;Extended Properties=&quot;&quot;" command="SELECT * FROM [ActiveCases]"/>
  </connection>
  <connection id="2" xr16:uid="{F8767D4E-5E8C-43E1-A180-AEE9F72BDE4A}" keepAlive="1" name="Query - CaseList" description="Connection to the 'CaseList' query in the workbook." type="5" refreshedVersion="8" saveData="1">
    <dbPr connection="Provider=Microsoft.Mashup.OleDb.1;Data Source=$Workbook$;Location=CaseList;Extended Properties=&quot;&quot;" command="SELECT * FROM [CaseList]"/>
  </connection>
  <connection id="3" xr16:uid="{0B6671C5-1C09-4744-9D2B-3A0CAA626F21}" keepAlive="1" name="Query - JaqCases" description="Connection to the 'JaqCases' query in the workbook." type="5" refreshedVersion="0" background="1">
    <dbPr connection="Provider=Microsoft.Mashup.OleDb.1;Data Source=$Workbook$;Location=JaqCases;Extended Properties=&quot;&quot;" command="SELECT * FROM [JaqCases]"/>
  </connection>
  <connection id="4" xr16:uid="{0C5D5D9F-659E-47B0-B97C-97D0CD9605A7}" keepAlive="1" name="Query - mapAccess" description="Connection to the 'mapAccess' query in the workbook." type="5" refreshedVersion="0" background="1">
    <dbPr connection="Provider=Microsoft.Mashup.OleDb.1;Data Source=$Workbook$;Location=mapAccess;Extended Properties=&quot;&quot;" command="SELECT * FROM [mapAccess]"/>
  </connection>
  <connection id="5" xr16:uid="{61D0428B-4E81-429B-A9B8-768E873C0B05}" keepAlive="1" name="Query - mapDifficulty" description="Connection to the 'mapDifficulty' query in the workbook." type="5" refreshedVersion="0" background="1">
    <dbPr connection="Provider=Microsoft.Mashup.OleDb.1;Data Source=$Workbook$;Location=mapDifficulty;Extended Properties=&quot;&quot;" command="SELECT * FROM [mapDifficulty]"/>
  </connection>
  <connection id="6" xr16:uid="{54D91261-F486-4E85-AD71-82AEDF364000}" keepAlive="1" name="Query - Select_Your_Access" description="Connection to the 'Select_Your_Access' query in the workbook." type="5" refreshedVersion="0" background="1">
    <dbPr connection="Provider=Microsoft.Mashup.OleDb.1;Data Source=$Workbook$;Location=Select_Your_Access;Extended Properties=&quot;&quot;" command="SELECT * FROM [Select_Your_Acces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<sst xmlns="http://schemas.openxmlformats.org/spreadsheetml/2006/main" count="3727" uniqueCount="997">
  <si>
    <t>Pts per min</t>
  </si>
  <si>
    <t>Random</t>
  </si>
  <si>
    <t>Difficulty</t>
  </si>
  <si>
    <t>Actual used</t>
  </si>
  <si>
    <t>30m Score</t>
  </si>
  <si>
    <t>30m Time</t>
  </si>
  <si>
    <t>Full Score Time (m)</t>
  </si>
  <si>
    <t>OA Robot
Commands</t>
  </si>
  <si>
    <t>OA Robot
InstaSolve</t>
  </si>
  <si>
    <t>Points</t>
  </si>
  <si>
    <t>American Bingo!</t>
  </si>
  <si>
    <t>Bushland Adventures</t>
  </si>
  <si>
    <t>Command Leaderboard</t>
  </si>
  <si>
    <t>No</t>
  </si>
  <si>
    <t>Shortcut / Code</t>
  </si>
  <si>
    <t>Command Collection</t>
  </si>
  <si>
    <t>Description</t>
  </si>
  <si>
    <t>Case Specific</t>
  </si>
  <si>
    <t>Uses</t>
  </si>
  <si>
    <t>Order</t>
  </si>
  <si>
    <t>Command</t>
  </si>
  <si>
    <t>Parameters</t>
  </si>
  <si>
    <t>A - Name Ranges: American Bingo</t>
  </si>
  <si>
    <t>NRA</t>
  </si>
  <si>
    <t>A-ZTraining</t>
  </si>
  <si>
    <t>Sets up named ranges explicitly for this file</t>
  </si>
  <si>
    <t>Create Calc Sheet</t>
  </si>
  <si>
    <t>CCS</t>
  </si>
  <si>
    <t>Creates a blank Calculation sheet for calculations</t>
  </si>
  <si>
    <t>A - Link to range Game</t>
  </si>
  <si>
    <t>links to Game named range</t>
  </si>
  <si>
    <t>Remove Blank Rows and Columns</t>
  </si>
  <si>
    <t>RB</t>
  </si>
  <si>
    <t>Array Robot</t>
  </si>
  <si>
    <t>Removes the rows and columns that are blank or all zeroes</t>
  </si>
  <si>
    <t>Create Data Table from Array</t>
  </si>
  <si>
    <t>DTA</t>
  </si>
  <si>
    <t>Creates a data table to the right of the selected array - assumes array has a header and first column is lookup</t>
  </si>
  <si>
    <t>Move Right 1</t>
  </si>
  <si>
    <t>Navigation only - moves a cell to the right</t>
  </si>
  <si>
    <t>Get Array 2 Up</t>
  </si>
  <si>
    <t>A2U</t>
  </si>
  <si>
    <t>Gets the array which spills into the cell 2 directly up from the active cell</t>
  </si>
  <si>
    <t>A - Get Range Name</t>
  </si>
  <si>
    <t>Gets name of shape range from input array</t>
  </si>
  <si>
    <t>Indirect</t>
  </si>
  <si>
    <t>IND</t>
  </si>
  <si>
    <t>Gets indirect of current cell value</t>
  </si>
  <si>
    <t>Reshape to One (1) Column</t>
  </si>
  <si>
    <t>1C</t>
  </si>
  <si>
    <t>Applies a TOCOL</t>
  </si>
  <si>
    <t>A - Link to range Bingo1</t>
  </si>
  <si>
    <t>links to Bingo1 named range</t>
  </si>
  <si>
    <t>Multiply Array by Left Most Array</t>
  </si>
  <si>
    <t>MAL</t>
  </si>
  <si>
    <t>Multiplies the current array with the left most array in the current cell region</t>
  </si>
  <si>
    <t>If Error Then Zero (0)</t>
  </si>
  <si>
    <t>E0</t>
  </si>
  <si>
    <t>Replaces errors with a 0</t>
  </si>
  <si>
    <t>Duplicate Array to Right</t>
  </si>
  <si>
    <t>Ctrl-Shift-R</t>
  </si>
  <si>
    <t>Copies current array to the right</t>
  </si>
  <si>
    <t>XMATCH with Array 2 Rows Up</t>
  </si>
  <si>
    <t>M2U</t>
  </si>
  <si>
    <t>Finds XMATCH of values in current array with array 2 cells up (can be the spilled range)</t>
  </si>
  <si>
    <t>Max of Array</t>
  </si>
  <si>
    <t>MAX</t>
  </si>
  <si>
    <t>Returns the maximum value of the array</t>
  </si>
  <si>
    <t>Duplicate Formula to Right</t>
  </si>
  <si>
    <t>DFR</t>
  </si>
  <si>
    <t>Copies formula in current cell to the right as exact formula (arrays only)</t>
  </si>
  <si>
    <t>Move Left 1</t>
  </si>
  <si>
    <t>Navigation only - moves a cell to the left</t>
  </si>
  <si>
    <t>XLOOKUP Value in Arrays to Left</t>
  </si>
  <si>
    <t>LL</t>
  </si>
  <si>
    <t>Looks up current cell value in array 1 cell to the left, returning values from array 2 cells to the left</t>
  </si>
  <si>
    <t>A - Link to range Bingo2</t>
  </si>
  <si>
    <t>links to Bingo2 named range</t>
  </si>
  <si>
    <t>A - Calculations for Answer</t>
  </si>
  <si>
    <t>Sets up final calculation explicitly for this file</t>
  </si>
  <si>
    <t>Link Answer Cell</t>
  </si>
  <si>
    <t>ANS</t>
  </si>
  <si>
    <t>Links the data table ANSWER cell to the currently selected cell</t>
  </si>
  <si>
    <t>How to add parameters?</t>
  </si>
  <si>
    <t>Session Added</t>
  </si>
  <si>
    <t>B - Name Ranges: Bushland Adventures</t>
  </si>
  <si>
    <t>NRB</t>
  </si>
  <si>
    <t>Sum by Step (step last)</t>
  </si>
  <si>
    <t>Cumulative sum of steps (gets unique list in last column and totals a cumulative sum of first column)</t>
  </si>
  <si>
    <t>Go To Level 1</t>
  </si>
  <si>
    <t>L1</t>
  </si>
  <si>
    <t>Goes to level 1</t>
  </si>
  <si>
    <t>Select Last Input And Remove</t>
  </si>
  <si>
    <t>R-0</t>
  </si>
  <si>
    <t xml:space="preserve"> hours</t>
  </si>
  <si>
    <t>Removes an inputted string from the last column of the inputs for a level</t>
  </si>
  <si>
    <t>Lookup from Column 2</t>
  </si>
  <si>
    <t>LK2</t>
  </si>
  <si>
    <t>PackSums</t>
  </si>
  <si>
    <t>Looks up current values, returning the 2nd column of the active range for an inputted named range</t>
  </si>
  <si>
    <t>Select Spill Range</t>
  </si>
  <si>
    <t>SS</t>
  </si>
  <si>
    <t>Selects spill range</t>
  </si>
  <si>
    <t>Save Game Answer To Left</t>
  </si>
  <si>
    <t>Ctrl-Shift-S</t>
  </si>
  <si>
    <t>MEWC Robot</t>
  </si>
  <si>
    <t>Saves selection to answers cells</t>
  </si>
  <si>
    <t>Go To Level 2</t>
  </si>
  <si>
    <t>L2</t>
  </si>
  <si>
    <t>Goes to level 2</t>
  </si>
  <si>
    <t>Select Input Pre1 And Remove</t>
  </si>
  <si>
    <t>R-1</t>
  </si>
  <si>
    <t>km</t>
  </si>
  <si>
    <t>Removes an inputted string from the second last column of the inputs for a level</t>
  </si>
  <si>
    <t>Select Next Column</t>
  </si>
  <si>
    <t>SNC</t>
  </si>
  <si>
    <t>Selects next column across</t>
  </si>
  <si>
    <t>Make Array To Right</t>
  </si>
  <si>
    <t>MAR</t>
  </si>
  <si>
    <t>Select Previous Column</t>
  </si>
  <si>
    <t>SPC</t>
  </si>
  <si>
    <t>Selects previous column</t>
  </si>
  <si>
    <t>Divide Array by Array to Left</t>
  </si>
  <si>
    <t>DAL</t>
  </si>
  <si>
    <t>Divides the selected range by the range one column to the left</t>
  </si>
  <si>
    <t>M60</t>
  </si>
  <si>
    <t>Multiplies value by 60</t>
  </si>
  <si>
    <t>Round to 0</t>
  </si>
  <si>
    <t>R0</t>
  </si>
  <si>
    <t>CompBot</t>
  </si>
  <si>
    <t>Round to 0 decimal places</t>
  </si>
  <si>
    <t>Go To Level 3</t>
  </si>
  <si>
    <t>L3</t>
  </si>
  <si>
    <t>Goes to level 3</t>
  </si>
  <si>
    <t>There is no Z! The Z is a lie!</t>
  </si>
  <si>
    <t>Select Your Access</t>
  </si>
  <si>
    <t>Right-click and refresh table after update</t>
  </si>
  <si>
    <t>Name</t>
  </si>
  <si>
    <t>Author</t>
  </si>
  <si>
    <t>Tags</t>
  </si>
  <si>
    <t>Access Level</t>
  </si>
  <si>
    <t>Access</t>
  </si>
  <si>
    <t>... To Superhero</t>
  </si>
  <si>
    <t>Ny Tsiory Rakotonanahary</t>
  </si>
  <si>
    <t>2025,Ny Tsiory Rakotonanahary,MEWC Madagascar</t>
  </si>
  <si>
    <t>Moderate</t>
  </si>
  <si>
    <t>Excel Guru</t>
  </si>
  <si>
    <t>30 Minute Mystery</t>
  </si>
  <si>
    <t>Peter Scharl</t>
  </si>
  <si>
    <t>2024,Peter Scharl,MEWC</t>
  </si>
  <si>
    <t>Excel Pro</t>
  </si>
  <si>
    <t>5X</t>
  </si>
  <si>
    <t>2025,Ny Tsiory Rakotonanahary,FMWC Madagascar</t>
  </si>
  <si>
    <t>Hard</t>
  </si>
  <si>
    <t>A Dicey Battle</t>
  </si>
  <si>
    <t>Michael Jarman</t>
  </si>
  <si>
    <t>2022,MEWC,Michael Jarman</t>
  </si>
  <si>
    <t>A Licence on a Plate</t>
  </si>
  <si>
    <t>Andrew Grigolyunovich</t>
  </si>
  <si>
    <t>2022,MEWC,Andrew Grigolyunovich</t>
  </si>
  <si>
    <t>A Right Royal Battle (Part I)</t>
  </si>
  <si>
    <t>Harry Watson</t>
  </si>
  <si>
    <t>2025,FMWC UK,Harry Watson</t>
  </si>
  <si>
    <t>A Right Royal Battle (Part II)</t>
  </si>
  <si>
    <t>2025,Harry Watson,FMWC UK</t>
  </si>
  <si>
    <t>Very Hard</t>
  </si>
  <si>
    <t>A Story About the Reels</t>
  </si>
  <si>
    <t>2022,Andrew Grigolyunovich,All Star Battle</t>
  </si>
  <si>
    <t>Easy</t>
  </si>
  <si>
    <t>All Sausage</t>
  </si>
  <si>
    <t>Benjamin Weber</t>
  </si>
  <si>
    <t>2025,Benjamin Weber,FMWC DACH</t>
  </si>
  <si>
    <t>All's Well That Ends Excel</t>
  </si>
  <si>
    <t>Harry Gross, Diarmuid Early</t>
  </si>
  <si>
    <t>2025,Harry Gross,Diarmuid Early,FMWC UK</t>
  </si>
  <si>
    <t>Almost There</t>
  </si>
  <si>
    <t>Emils Saulitis</t>
  </si>
  <si>
    <t>2024,RTLV,Emils Saulitis</t>
  </si>
  <si>
    <t>2021,Andrew Grigolyunovich,Battle of 16</t>
  </si>
  <si>
    <t>At the Races</t>
  </si>
  <si>
    <t>James Curtis</t>
  </si>
  <si>
    <t>2023,RTLV,James Curtis</t>
  </si>
  <si>
    <t>Axel the Elf’s Christmas Catastrophe</t>
  </si>
  <si>
    <t>2024,MEWC,James Curtis</t>
  </si>
  <si>
    <t>Free</t>
  </si>
  <si>
    <t>Backgammon</t>
  </si>
  <si>
    <t>Dan Mayoh</t>
  </si>
  <si>
    <t>2023,Dan Mayoh,MEWC</t>
  </si>
  <si>
    <t>Battle Royal</t>
  </si>
  <si>
    <t>Harry Seiders</t>
  </si>
  <si>
    <t>2023,RTLV,Harry Seiders</t>
  </si>
  <si>
    <t>Battleship</t>
  </si>
  <si>
    <t>2021,Andrew Grigolyunovich,FMWC Open</t>
  </si>
  <si>
    <t>Bear Island</t>
  </si>
  <si>
    <t>Belote (FR)</t>
  </si>
  <si>
    <t>2024,Ny Tsiory Rakotonanahary,FMWC Madagascar,French</t>
  </si>
  <si>
    <t>Biathlon</t>
  </si>
  <si>
    <t>Bigger Portals</t>
  </si>
  <si>
    <t>Grayson Huynh</t>
  </si>
  <si>
    <t>2025,Grayson Huynh,MEWC</t>
  </si>
  <si>
    <t>Bit of Music</t>
  </si>
  <si>
    <t>Julien Lacaze</t>
  </si>
  <si>
    <t>2025,RTLV,Julien Lacaze</t>
  </si>
  <si>
    <t>Board Game</t>
  </si>
  <si>
    <t>Nick Boberg</t>
  </si>
  <si>
    <t>2025,MEWC,Nick Boberg</t>
  </si>
  <si>
    <t>Card Game</t>
  </si>
  <si>
    <t>Categories (City, Country, River)</t>
  </si>
  <si>
    <t>Census</t>
  </si>
  <si>
    <t>2024,RTLV,Harry Watson</t>
  </si>
  <si>
    <t>Chess with No Stress</t>
  </si>
  <si>
    <t>Choco-Late!</t>
  </si>
  <si>
    <t>Klinsmann Langhanz</t>
  </si>
  <si>
    <t>2024,Klinsmann Langhanz,FMWC Brasil</t>
  </si>
  <si>
    <t>Clash On Titan</t>
  </si>
  <si>
    <t>Harry Gross</t>
  </si>
  <si>
    <t>2024,MEWC,Harry Gross</t>
  </si>
  <si>
    <t>Climbing Mountains</t>
  </si>
  <si>
    <t>Clock Solitaire</t>
  </si>
  <si>
    <t>Jason Webber</t>
  </si>
  <si>
    <t>2023,Jason Webber,FMWC South Africa</t>
  </si>
  <si>
    <t>Collect Them All!</t>
  </si>
  <si>
    <t>Renier Wessels</t>
  </si>
  <si>
    <t>2022,MEWC,Renier Wessels</t>
  </si>
  <si>
    <t>Collecting Scarves</t>
  </si>
  <si>
    <t>2025,RTLV,Benjamin Weber</t>
  </si>
  <si>
    <t>Conversion Time</t>
  </si>
  <si>
    <t>Steyn Wolmarans</t>
  </si>
  <si>
    <t>2024,Steyn Wolmarans,FMWC South Africa</t>
  </si>
  <si>
    <t>Cribbage</t>
  </si>
  <si>
    <t>2023,MEWC,Peter Scharl</t>
  </si>
  <si>
    <t>Cricket Darts</t>
  </si>
  <si>
    <t>2023,MEWC,Harry Seiders</t>
  </si>
  <si>
    <t>Dans La Poche</t>
  </si>
  <si>
    <t>Deep Sea Diving</t>
  </si>
  <si>
    <t>2024,RTLV,Nick Boberg</t>
  </si>
  <si>
    <t>Did You Get the Plates?</t>
  </si>
  <si>
    <t>Doggie Daycare</t>
  </si>
  <si>
    <t>David Brown</t>
  </si>
  <si>
    <t>2024,RTLV,David Brown</t>
  </si>
  <si>
    <t>Dominate the Dominoes</t>
  </si>
  <si>
    <t>EVE Online</t>
  </si>
  <si>
    <t>Niels Terfehr</t>
  </si>
  <si>
    <t>2023,MEWC,Niels Terfehr</t>
  </si>
  <si>
    <t>Easy As Pi</t>
  </si>
  <si>
    <t/>
  </si>
  <si>
    <t>Eggs &amp; Bunnies</t>
  </si>
  <si>
    <t>Elections are Coming!</t>
  </si>
  <si>
    <t>Elimination Race to Las Vegas</t>
  </si>
  <si>
    <t>2023,Andrew Grigolyunovich,FMWC Grand Prix</t>
  </si>
  <si>
    <t>Euchre</t>
  </si>
  <si>
    <t>Lianna Gerish</t>
  </si>
  <si>
    <t>2022,MEWC,Lianna Gerish</t>
  </si>
  <si>
    <t>Excel Athlete Basics Revisited</t>
  </si>
  <si>
    <t>2024,FMWC Brasil,Klinsmann Langhanz</t>
  </si>
  <si>
    <t>Excel Superheroes</t>
  </si>
  <si>
    <t>2023,MEWC,Andrew Grigolyunovich</t>
  </si>
  <si>
    <t>Excelopolis</t>
  </si>
  <si>
    <t>Exemons</t>
  </si>
  <si>
    <t>2024,Ny Tsiory Rakotonanahary,FMWC Madagascar</t>
  </si>
  <si>
    <t>Fantasy Excel</t>
  </si>
  <si>
    <t>2023,RTLV,Peter Scharl</t>
  </si>
  <si>
    <t>Farming in the Land of Vines</t>
  </si>
  <si>
    <t>Five Hundred</t>
  </si>
  <si>
    <t>Tim Heng</t>
  </si>
  <si>
    <t>2022,MEWC,Tim Heng</t>
  </si>
  <si>
    <t>Flower Power</t>
  </si>
  <si>
    <t>2023,MEWC,Harry Gross</t>
  </si>
  <si>
    <t>Formula Fighters</t>
  </si>
  <si>
    <t>Anders Richter Lindén</t>
  </si>
  <si>
    <t>2025,Anders Richter Lindén,Other</t>
  </si>
  <si>
    <t>From Excel Pro…</t>
  </si>
  <si>
    <t>Game of Life</t>
  </si>
  <si>
    <t>2024,Jason Webber,FMWC South Africa</t>
  </si>
  <si>
    <t>Give Me a Hand</t>
  </si>
  <si>
    <t>Tim Froelich</t>
  </si>
  <si>
    <t>2025,Tim Froelich,MEWC</t>
  </si>
  <si>
    <t>Grocery Store Cleanup</t>
  </si>
  <si>
    <t>Hitchhiking Day</t>
  </si>
  <si>
    <t>Hopscotch</t>
  </si>
  <si>
    <t>Coby Dombrowksy</t>
  </si>
  <si>
    <t>2025,Coby Dombrowsky,MEWC</t>
  </si>
  <si>
    <t>How To Win The Microsoft Excel World Championship</t>
  </si>
  <si>
    <t>Diarmuid Early</t>
  </si>
  <si>
    <t>2026,Diarmuid Early,RTLV</t>
  </si>
  <si>
    <t>I am Left-Handed... Right?</t>
  </si>
  <si>
    <t>2024,RTLV,Klinsmann Langhanz</t>
  </si>
  <si>
    <t>I'm Just Wild about Harry</t>
  </si>
  <si>
    <t>2025,RTLV,Harry Seiders</t>
  </si>
  <si>
    <t>In Excel We Trust</t>
  </si>
  <si>
    <t>Indexing the Mails</t>
  </si>
  <si>
    <t>Ironman</t>
  </si>
  <si>
    <t>2024,MEWC,Nick Boberg</t>
  </si>
  <si>
    <t>IsometriChaos</t>
  </si>
  <si>
    <t>2024,MEWC,Klinsmann Langhanz</t>
  </si>
  <si>
    <t>It's Probably a Crab!</t>
  </si>
  <si>
    <t>2025,Nick Boberg,MEWC</t>
  </si>
  <si>
    <t>It's a Sequence</t>
  </si>
  <si>
    <t>2022,Andrew Grigolyunovich,Continent Battles</t>
  </si>
  <si>
    <t>It's a Snake!</t>
  </si>
  <si>
    <t>It’s Bowling Time</t>
  </si>
  <si>
    <t>Jumbled Jigsaws</t>
  </si>
  <si>
    <t>2025,MEWC,Harry Gross</t>
  </si>
  <si>
    <t>Kiwi Holiday</t>
  </si>
  <si>
    <t>2025,Nick Boberg,RTLV</t>
  </si>
  <si>
    <t>Knife Thrower</t>
  </si>
  <si>
    <t>Mikoja Rakotoalisoa</t>
  </si>
  <si>
    <t>2025,Mikoja Rakotoalisoa,MEWC</t>
  </si>
  <si>
    <t>Knights and Warriors</t>
  </si>
  <si>
    <t>Kruger National Park</t>
  </si>
  <si>
    <t>2024,Renier Wessels,FMWC South Africa</t>
  </si>
  <si>
    <t>Lana Banana</t>
  </si>
  <si>
    <t>Lana Goes Ice Skating</t>
  </si>
  <si>
    <t>Lana On Holiday - UK &amp; Ireland Version</t>
  </si>
  <si>
    <t>2025,Benjamin Weber,FMWC UK</t>
  </si>
  <si>
    <t>Lana on Holiday - DACH Edition</t>
  </si>
  <si>
    <t>Laundry Time</t>
  </si>
  <si>
    <t>Letter Soup</t>
  </si>
  <si>
    <t>Klinsmann Langhanz, Diarmuid Early</t>
  </si>
  <si>
    <t>2024,Klinsmann Langhanz,Diarmuid Early,FMWC Brasil</t>
  </si>
  <si>
    <t>Lost Instructions</t>
  </si>
  <si>
    <t>2025,RTLV,Peter Scharl</t>
  </si>
  <si>
    <t>Lottery</t>
  </si>
  <si>
    <t>2022,Andrew Grigolyunovich,Women's Battle</t>
  </si>
  <si>
    <t>Ludo</t>
  </si>
  <si>
    <t>2022,Andrew Grigolyunovich,Global Excel Summit</t>
  </si>
  <si>
    <t>Lumberjack</t>
  </si>
  <si>
    <t>Mahjong Solitaire</t>
  </si>
  <si>
    <t>2025,MEWC,Andrew Grigolyunovich</t>
  </si>
  <si>
    <t>Malice In Wonderland</t>
  </si>
  <si>
    <t>2025,Harry Gross,FMWC UK</t>
  </si>
  <si>
    <t>Maze</t>
  </si>
  <si>
    <t>Joseph Palisoc</t>
  </si>
  <si>
    <t>2022,MEWC,Joseph Palisoc</t>
  </si>
  <si>
    <t>Mealprep 101</t>
  </si>
  <si>
    <t>Jean Wolleh</t>
  </si>
  <si>
    <t>2025,Jean Wolleh,FMWC DACH</t>
  </si>
  <si>
    <t>Memory Game</t>
  </si>
  <si>
    <t>2026,RLTV,Emils Saulitis</t>
  </si>
  <si>
    <t>Minesweeper</t>
  </si>
  <si>
    <t>Modelario, a Platform Game</t>
  </si>
  <si>
    <t>Mortal Wombat</t>
  </si>
  <si>
    <t>Brian Wright</t>
  </si>
  <si>
    <t>2024,MEWC,Brian Wright</t>
  </si>
  <si>
    <t>Nakama Uprising</t>
  </si>
  <si>
    <t>Old Money</t>
  </si>
  <si>
    <t>Origami</t>
  </si>
  <si>
    <t>2025,MEWC,Klinsmann Langhanz</t>
  </si>
  <si>
    <t>Othello</t>
  </si>
  <si>
    <t>2022,MEWC,Diarmuid Early</t>
  </si>
  <si>
    <t>Paint It Red</t>
  </si>
  <si>
    <t>Painting Crews</t>
  </si>
  <si>
    <t>Klinsmann Langhanz, Peter Scharl</t>
  </si>
  <si>
    <t>2024,Klinsmann Langhanz,Peter Scharl,FMWC Brasil</t>
  </si>
  <si>
    <t>Pass the Arrows</t>
  </si>
  <si>
    <t>Passing Notes</t>
  </si>
  <si>
    <t>Willem Gerritsen</t>
  </si>
  <si>
    <t>2022,MEWC,Willem Gerritsen</t>
  </si>
  <si>
    <t>Perfect Date and Soulmate</t>
  </si>
  <si>
    <t>Pinball</t>
  </si>
  <si>
    <t>Andrew Gigolyunovich</t>
  </si>
  <si>
    <t>PipeMare</t>
  </si>
  <si>
    <t>Juan José Cifuentes</t>
  </si>
  <si>
    <t>2025,Juan José Cifuentes,RTLV</t>
  </si>
  <si>
    <t>Portal</t>
  </si>
  <si>
    <t>2024,MEWC,Grayson Huynh</t>
  </si>
  <si>
    <t>Potions Master</t>
  </si>
  <si>
    <t>2023,Peter Scharl,MEWC</t>
  </si>
  <si>
    <t>Power Gaming!</t>
  </si>
  <si>
    <t>2025,Juan José Cifuentes,MEWC</t>
  </si>
  <si>
    <t>Powerlifting</t>
  </si>
  <si>
    <t>Hadyn Wiseman</t>
  </si>
  <si>
    <t>2025,Hadyn Wiseman,MEWC</t>
  </si>
  <si>
    <t>Rami à 1</t>
  </si>
  <si>
    <t>Regatta</t>
  </si>
  <si>
    <t>Rugby World Cup 2023</t>
  </si>
  <si>
    <t>Run Forrest Run</t>
  </si>
  <si>
    <t>Réunion: A Volcano Island</t>
  </si>
  <si>
    <t>2024,MEWC,Julien Lacaze</t>
  </si>
  <si>
    <t>Seamstress Fast</t>
  </si>
  <si>
    <t>2025,Peter Scharl,MEWC</t>
  </si>
  <si>
    <t>Share the Ride</t>
  </si>
  <si>
    <t>2021,Andrew Gigolyunovich,FMWC Open</t>
  </si>
  <si>
    <t>Ship the World</t>
  </si>
  <si>
    <t>2024,RTLV,Benjamin Weber</t>
  </si>
  <si>
    <t>Ski Jumping</t>
  </si>
  <si>
    <t>Sleep as a Sport</t>
  </si>
  <si>
    <t>2024,MEWC,Harry Seiders</t>
  </si>
  <si>
    <t>Snap!</t>
  </si>
  <si>
    <t>So many Holidays</t>
  </si>
  <si>
    <t>Sommelier</t>
  </si>
  <si>
    <t>2024,RTLV,Peter Scharl</t>
  </si>
  <si>
    <t>Square of Fortune</t>
  </si>
  <si>
    <t>2022,Joseph Palisoc,Global Excel Summit</t>
  </si>
  <si>
    <t>Steppies en Pofadders</t>
  </si>
  <si>
    <t>2023,Renier Wessels,FMWC South Africa</t>
  </si>
  <si>
    <t>Steyn City</t>
  </si>
  <si>
    <t>2023,Steyn Wolmarans,FMWC South Africa</t>
  </si>
  <si>
    <t>Strategic Choices</t>
  </si>
  <si>
    <t>Studying Season 2024</t>
  </si>
  <si>
    <t>Super Grand Master</t>
  </si>
  <si>
    <t>T-Maraina</t>
  </si>
  <si>
    <t>Table Soccer</t>
  </si>
  <si>
    <t>2023,RTLV,Andrew Grigolyunovich</t>
  </si>
  <si>
    <t>Temple of the Golden Idol</t>
  </si>
  <si>
    <t>Tetris</t>
  </si>
  <si>
    <t>2021,Dan Mayoh,Battle of 16</t>
  </si>
  <si>
    <t>Text Me Back</t>
  </si>
  <si>
    <t>2025,Anders Richter Lindén,MEWC</t>
  </si>
  <si>
    <t>The 24 Hours of Le MEWC</t>
  </si>
  <si>
    <t>Vincent Morin</t>
  </si>
  <si>
    <t>2025,Vincent Morin,MEWC</t>
  </si>
  <si>
    <t>The Formula Bar And Grill</t>
  </si>
  <si>
    <t>2025,RTLV,Brian Wright</t>
  </si>
  <si>
    <t>The Gambler</t>
  </si>
  <si>
    <t>The Humble MVP</t>
  </si>
  <si>
    <t>Giles Male</t>
  </si>
  <si>
    <t>2025,Giles Male,FMWC UK</t>
  </si>
  <si>
    <t>The Many Maps of Merlin</t>
  </si>
  <si>
    <t>Elliott Paterson</t>
  </si>
  <si>
    <t>2025,Elliott Paterson,FMWC UK</t>
  </si>
  <si>
    <t>The Mzansi Hotel Group</t>
  </si>
  <si>
    <t>The Number 1 Fan (Part 1) 2022</t>
  </si>
  <si>
    <t>The Number 1 Fan (Part 1) 2023</t>
  </si>
  <si>
    <t>The Number 1 Fan (Part 1) 2024</t>
  </si>
  <si>
    <t>2024,MEWC,Andrew Grigolyunovich</t>
  </si>
  <si>
    <t>The Number 1 Fan (Part 1) 2025</t>
  </si>
  <si>
    <t>2025,Andrew Grigolyunovich,MEWC</t>
  </si>
  <si>
    <t>The Number 1 Fan (Part 2) 2022</t>
  </si>
  <si>
    <t>The Number 1 Fan (Part 2) 2023</t>
  </si>
  <si>
    <t>2023,MEWC,Andrew Grigolyunovic</t>
  </si>
  <si>
    <t>The Number 1 Fan (Part 2) 2024</t>
  </si>
  <si>
    <t>The Number 1 Fan (Part 2) 2025</t>
  </si>
  <si>
    <t>The Numbers Game</t>
  </si>
  <si>
    <t>The Odds for Mr. Odd</t>
  </si>
  <si>
    <t>The Simple Case</t>
  </si>
  <si>
    <t>2024,RTLV,Michael Jarman</t>
  </si>
  <si>
    <t>The Social Network</t>
  </si>
  <si>
    <t>2022,MEWC,Harry Gross</t>
  </si>
  <si>
    <t>The Toy Tycoon</t>
  </si>
  <si>
    <t>2025,Andrew Grigolyunovich,Other</t>
  </si>
  <si>
    <t>This Spreadsheet is a Nightmare</t>
  </si>
  <si>
    <t>2024,RTLV,Harry Seiders</t>
  </si>
  <si>
    <t>Treasure Hunt</t>
  </si>
  <si>
    <t>Tripeaks</t>
  </si>
  <si>
    <t>Tug of War</t>
  </si>
  <si>
    <t>Underground Mining</t>
  </si>
  <si>
    <t>Julian Pöltl</t>
  </si>
  <si>
    <t>2025,Julian Pöltl,FMWC DACH</t>
  </si>
  <si>
    <t>Use Your Head</t>
  </si>
  <si>
    <t>Tafita Rakotondrafara</t>
  </si>
  <si>
    <t>2024,Tafita Rakotondrafara,FMWC Madagascar</t>
  </si>
  <si>
    <t>VSTACK-Man</t>
  </si>
  <si>
    <t>Coby Dombrowsky</t>
  </si>
  <si>
    <t>2025,MEWC,Coby Dombrowsky</t>
  </si>
  <si>
    <t>Vatsy Tsinjo</t>
  </si>
  <si>
    <t>Vlookie the Gold Miner</t>
  </si>
  <si>
    <t>Vlookie-teur</t>
  </si>
  <si>
    <t>Wabble</t>
  </si>
  <si>
    <t>2024,MEWC,Harry Watson</t>
  </si>
  <si>
    <t>Waterflow</t>
  </si>
  <si>
    <t>Klinsmann Langhanz, Andrew Grigolyunovich</t>
  </si>
  <si>
    <t>2024,Klinsmann Langhanz,Andrew Grigolyunovich,FMWC Brasil</t>
  </si>
  <si>
    <t>Watt The Pho</t>
  </si>
  <si>
    <t>We're Not In Kansas Anymore</t>
  </si>
  <si>
    <t>2025,RTLV,Harry Gross</t>
  </si>
  <si>
    <t>We're Not In Kansas Anymore (MECC) - Junior Varsity</t>
  </si>
  <si>
    <t>2025,Harry Gross,MECC</t>
  </si>
  <si>
    <t>We're Not In Kansas Anymore (MECC) - Varsity</t>
  </si>
  <si>
    <t>Whack-a-Mole</t>
  </si>
  <si>
    <t>2023,Peter Scharl,RTLV</t>
  </si>
  <si>
    <t>What's My Flight Number?</t>
  </si>
  <si>
    <t>Patrick Chatain</t>
  </si>
  <si>
    <t>2023,RTLV,Patrick Chatain</t>
  </si>
  <si>
    <t>Where's Wally</t>
  </si>
  <si>
    <t>Whodunnit?</t>
  </si>
  <si>
    <t>2025,RTLV,Harry Watson</t>
  </si>
  <si>
    <t>World of Warcraft</t>
  </si>
  <si>
    <t>David Fortin, Andrew Grigolyunovich</t>
  </si>
  <si>
    <t>2024,MEWC,David Fortin,Andrew Grigolyunovich</t>
  </si>
  <si>
    <t>💩Head</t>
  </si>
  <si>
    <t>Karim Awenat</t>
  </si>
  <si>
    <t>2026,Karim Awenat,</t>
  </si>
  <si>
    <t>What Am I Doing?</t>
  </si>
  <si>
    <t>I have set myself an A-Z training challenge, covering a random case starting with each letter (from those available to me on play.excel-esports.com). For each case I am doing the following:</t>
  </si>
  <si>
    <t>1. Try the case timed for 30m and record my score</t>
  </si>
  <si>
    <t>2. Try the case again from start to finish and record my time (if step 1 is under 30m, skip this)</t>
  </si>
  <si>
    <t>3. Devise an OA robot only solution to practice commands and create new ones</t>
  </si>
  <si>
    <t>4. Post my OA Robot solve and record my time</t>
  </si>
  <si>
    <t>5. Do a special case "InstaSolve" using OA Robot and record my time*</t>
  </si>
  <si>
    <t>6. Randomly select my next case for my next challenge</t>
  </si>
  <si>
    <t>* This may be very fast, but is built off the back of hours of setup work. I can't do this IRL with a fresh case!!!</t>
  </si>
  <si>
    <t>The latest version of this file "A-Ztraining.xlsm" will be linked to below my videos so you can test it out yourself</t>
  </si>
  <si>
    <t>Difficult Map</t>
  </si>
  <si>
    <t>Access Map</t>
  </si>
  <si>
    <t>AccessLevelRequired</t>
  </si>
  <si>
    <t>Jaq's Cases</t>
  </si>
  <si>
    <t>Code</t>
  </si>
  <si>
    <t>Value</t>
  </si>
  <si>
    <t>It's Bowling Time</t>
  </si>
  <si>
    <t>Text Functions Case</t>
  </si>
  <si>
    <t>2026,Other</t>
  </si>
  <si>
    <t>Creates an array pointed at the active selection range</t>
  </si>
  <si>
    <t>B - Remove Hours</t>
  </si>
  <si>
    <t>AS ABOVE WITH INPUT " hours"</t>
  </si>
  <si>
    <t>AS ABOVE WITH INPUT "PackSums"</t>
  </si>
  <si>
    <t>B - Lookup Column 2 of PackSums</t>
  </si>
  <si>
    <t>B - Remove KM</t>
  </si>
  <si>
    <t>AS ABOVE WITH INPUT "km"</t>
  </si>
  <si>
    <t>B - Speed Multiplier</t>
  </si>
  <si>
    <t>Calculates multiplier for speed based on pack weight</t>
  </si>
  <si>
    <t>Make Array 2 To Right</t>
  </si>
  <si>
    <t>Make Array 3 To Right</t>
  </si>
  <si>
    <t>MA2R</t>
  </si>
  <si>
    <t>MA3R</t>
  </si>
  <si>
    <t>M1k</t>
  </si>
  <si>
    <t>Multiplies value by 1000</t>
  </si>
  <si>
    <t>Go To Level 4</t>
  </si>
  <si>
    <t>L4</t>
  </si>
  <si>
    <t>Goes to level 4</t>
  </si>
  <si>
    <t>Select Last Input</t>
  </si>
  <si>
    <t>LI</t>
  </si>
  <si>
    <t>Selects last input column</t>
  </si>
  <si>
    <t>Split Text By Semicolon</t>
  </si>
  <si>
    <t>S;</t>
  </si>
  <si>
    <t>Splits text into columns by semicolon</t>
  </si>
  <si>
    <t>Duplicate Arrays to Right</t>
  </si>
  <si>
    <t>Copies current arrays to the right, row by row so not a single large array!</t>
  </si>
  <si>
    <t>CR</t>
  </si>
  <si>
    <t>CU</t>
  </si>
  <si>
    <t>Select First Input</t>
  </si>
  <si>
    <t>FI</t>
  </si>
  <si>
    <t>Selects column of inputs 2 columns to the right of Answer column</t>
  </si>
  <si>
    <t>A-Ztraining</t>
  </si>
  <si>
    <t>PFA</t>
  </si>
  <si>
    <t>Go To Level 5</t>
  </si>
  <si>
    <t>L5</t>
  </si>
  <si>
    <t>Goes to level 5</t>
  </si>
  <si>
    <t>Count Unique Values In ArrayS</t>
  </si>
  <si>
    <t>Applies a COUNTEACHUNIQUEVALUE lambda to each selected array (copied from Array Robot)</t>
  </si>
  <si>
    <t>Copy To Clipboard</t>
  </si>
  <si>
    <t>C</t>
  </si>
  <si>
    <t>Copies selection</t>
  </si>
  <si>
    <t>B - Calculate Total Time with Pack Adjustment</t>
  </si>
  <si>
    <t>Calculates Total Time with adjustment for pack weight</t>
  </si>
  <si>
    <t>Go To Level 6</t>
  </si>
  <si>
    <t>L6</t>
  </si>
  <si>
    <t>Goes to level 6</t>
  </si>
  <si>
    <t>B - Apply PackWeightMult Lambda</t>
  </si>
  <si>
    <t>Applies lambdas to get pack weight</t>
  </si>
  <si>
    <t>Create Data Table</t>
  </si>
  <si>
    <t>Scroll To Selection</t>
  </si>
  <si>
    <t>CDT</t>
  </si>
  <si>
    <t>Creates a data table for the currently selected level</t>
  </si>
  <si>
    <t>Goes to selection in window</t>
  </si>
  <si>
    <t>Add Link To Right</t>
  </si>
  <si>
    <t>Adds link to the right to the current cell</t>
  </si>
  <si>
    <t>Duplicate Array To Below</t>
  </si>
  <si>
    <t>DA</t>
  </si>
  <si>
    <t>Duplicates array below</t>
  </si>
  <si>
    <t>Count Unique Values In Array</t>
  </si>
  <si>
    <t>Applies a COUNTEACHUNIQUEVALUE lambda to the array</t>
  </si>
  <si>
    <t>Move Down 1</t>
  </si>
  <si>
    <t>Moves down 1 cell</t>
  </si>
  <si>
    <t>Get Array 4 Up</t>
  </si>
  <si>
    <t>Get Movement</t>
  </si>
  <si>
    <t>M</t>
  </si>
  <si>
    <t>Applies Movement lambda to active cell</t>
  </si>
  <si>
    <t>B - Name Ranges: Bushland Adventures Cum Pack</t>
  </si>
  <si>
    <t>NRB2</t>
  </si>
  <si>
    <t>Duplicate Formula To Right</t>
  </si>
  <si>
    <t>DF</t>
  </si>
  <si>
    <t>Select Current Region</t>
  </si>
  <si>
    <t>SCR</t>
  </si>
  <si>
    <t>Selects current region of selected cell</t>
  </si>
  <si>
    <t>B - Add UP movements</t>
  </si>
  <si>
    <t>Sets UP values to 0.25, otherwise 0</t>
  </si>
  <si>
    <t>Sum Array</t>
  </si>
  <si>
    <t>SUM</t>
  </si>
  <si>
    <t>B - Add DOWN multiplier</t>
  </si>
  <si>
    <t>Gets the array which spills into the cell 4 directly up from the active cell</t>
  </si>
  <si>
    <t>Multiply Array by Array Above</t>
  </si>
  <si>
    <t>MAA</t>
  </si>
  <si>
    <t>Multiplies the current array with the array directly above</t>
  </si>
  <si>
    <t>Multiply Array by Value 5 Cells Up</t>
  </si>
  <si>
    <t>MA5U</t>
  </si>
  <si>
    <t>Multiplies the current array with the value 5 cells above</t>
  </si>
  <si>
    <t>Invert Array</t>
  </si>
  <si>
    <t>INV</t>
  </si>
  <si>
    <t>Inverts all values in an array</t>
  </si>
  <si>
    <t>Multiply By 60</t>
  </si>
  <si>
    <t>Multiply By 1000</t>
  </si>
  <si>
    <t>Divide by 2</t>
  </si>
  <si>
    <t>D2</t>
  </si>
  <si>
    <t>Divides by 2</t>
  </si>
  <si>
    <t>Sums Array</t>
  </si>
  <si>
    <t>Sets DOWN values to 1.25, otherwise 1</t>
  </si>
  <si>
    <t>Paste As References</t>
  </si>
  <si>
    <t>Formula Robot</t>
  </si>
  <si>
    <t>PR</t>
  </si>
  <si>
    <t>Select First Answer Cell</t>
  </si>
  <si>
    <t>Pastes copied cells into selected cell as linked references</t>
  </si>
  <si>
    <t>Go To Level 7</t>
  </si>
  <si>
    <t>L7</t>
  </si>
  <si>
    <t>Goes to level 7</t>
  </si>
  <si>
    <t>Add Array to Array 2 Cells Above</t>
  </si>
  <si>
    <t>AA2U</t>
  </si>
  <si>
    <t>Adds the current array to the one 2 cells up</t>
  </si>
  <si>
    <t>Adds a link to the current cell to the right</t>
  </si>
  <si>
    <t>Get LEFT character</t>
  </si>
  <si>
    <t>L</t>
  </si>
  <si>
    <t>Applies LEFT function to current cell</t>
  </si>
  <si>
    <t>Multiply By 2</t>
  </si>
  <si>
    <t>M2</t>
  </si>
  <si>
    <t>Multiplies value by 2</t>
  </si>
  <si>
    <t>Get Sequence By Columns</t>
  </si>
  <si>
    <t>SC</t>
  </si>
  <si>
    <t>Gets a Sequence by columns from 1 to the value in the active cell</t>
  </si>
  <si>
    <t>Subtract 1</t>
  </si>
  <si>
    <t>S1</t>
  </si>
  <si>
    <t>Subtracts 1 from current cell value</t>
  </si>
  <si>
    <t>B - Scan above array with Arrow Shift</t>
  </si>
  <si>
    <t>Scans the current array and stacks the starting cell with arrow movements</t>
  </si>
  <si>
    <t>Move Up 1</t>
  </si>
  <si>
    <t>Navigation only - moves a cell up</t>
  </si>
  <si>
    <t>Move Left 4</t>
  </si>
  <si>
    <t>Navigation only - moves 4 cells to the left</t>
  </si>
  <si>
    <t>Move Right 4</t>
  </si>
  <si>
    <t>Navigation only - moves 4 cells to the right</t>
  </si>
  <si>
    <t>Hours Spent</t>
  </si>
  <si>
    <t>B - Bonus 1 calc</t>
  </si>
  <si>
    <t>Sets up calculation for Bonus 1</t>
  </si>
  <si>
    <t>B - Link to Level 3 Pack Weights</t>
  </si>
  <si>
    <t>Links to level 3 pack weights calculation</t>
  </si>
  <si>
    <t>B - Lookup terrain speed</t>
  </si>
  <si>
    <t>Looks up terrain in terrain speed table</t>
  </si>
  <si>
    <t>Creates an array pointed at the active selection range 2 cells to the right</t>
  </si>
  <si>
    <t>Creates an array pointed at the active selection range 3 cells to the right</t>
  </si>
  <si>
    <t>Copies current cell values to the right</t>
  </si>
  <si>
    <t>B - Address Lookup from TerrainMap</t>
  </si>
  <si>
    <t>Address Lookup from Parameter Range Name</t>
  </si>
  <si>
    <t>TerrMapWHdr</t>
  </si>
  <si>
    <t>Does a lookup from a range with header codes</t>
  </si>
  <si>
    <t>Does a lookup from TerrMapWHdr range with header codes</t>
  </si>
  <si>
    <t>TopoMapWHdr</t>
  </si>
  <si>
    <t>B - Address Lookup from TopoMap</t>
  </si>
  <si>
    <t>Paste Filter Array By Copied Cells in Row 1</t>
  </si>
  <si>
    <t>Filters each cell in selection, where first row of the cell = each cell of clipboard</t>
  </si>
  <si>
    <t>Count Columns Of ArrayS</t>
  </si>
  <si>
    <t>CC</t>
  </si>
  <si>
    <t>Wraps each array in COLUMNS to return a column count</t>
  </si>
  <si>
    <t>Get Array 3 Up</t>
  </si>
  <si>
    <t>A3U</t>
  </si>
  <si>
    <t>Gets the array which spills into the cell 3 directly up from the active cell</t>
  </si>
  <si>
    <t>SpeedMapWHdr</t>
  </si>
  <si>
    <t>B - Address Lookup from SpeedMap</t>
  </si>
  <si>
    <t>Does a lookup from SpeedMapWHdr range with header codes</t>
  </si>
  <si>
    <t>Does a lookup from TopoMapWHdr range with header codes</t>
  </si>
  <si>
    <t>Go To Bonus 1</t>
  </si>
  <si>
    <t>B1</t>
  </si>
  <si>
    <t>Goes to bonus question 1</t>
  </si>
  <si>
    <t>Go To Bonus 2</t>
  </si>
  <si>
    <t>B2</t>
  </si>
  <si>
    <t>Goes to bonus question 2</t>
  </si>
  <si>
    <t>Go To Bonus 3</t>
  </si>
  <si>
    <t>B3</t>
  </si>
  <si>
    <t>Goes to bonus question 3</t>
  </si>
  <si>
    <t>Go To Bonus 4</t>
  </si>
  <si>
    <t>B4</t>
  </si>
  <si>
    <t>Goes to bonus question 4</t>
  </si>
  <si>
    <t>B - Link to SpeedMap</t>
  </si>
  <si>
    <t>Links to SpeedMap range</t>
  </si>
  <si>
    <t>Count Rows of Array</t>
  </si>
  <si>
    <t>B - Bonus 5 count of 5 Check</t>
  </si>
  <si>
    <t>Terrain</t>
  </si>
  <si>
    <t>Speed</t>
  </si>
  <si>
    <t>ignore this - named ranges retained so lambdas still work</t>
  </si>
  <si>
    <t>Exclude Examples</t>
  </si>
  <si>
    <t>XE</t>
  </si>
  <si>
    <t>Excludes the top two rows from selection</t>
  </si>
  <si>
    <t>Paste Join by Semicolon</t>
  </si>
  <si>
    <t>PJ;</t>
  </si>
  <si>
    <t>Creates a TEXTJOIN by ; with the clipboard range</t>
  </si>
  <si>
    <t>B - Bonus 4 - set value to Rock</t>
  </si>
  <si>
    <t>Sets value to rock</t>
  </si>
  <si>
    <t>B - Link to TerrMap</t>
  </si>
  <si>
    <t>Links to TerrMap range</t>
  </si>
  <si>
    <t>Address Lookup on Value Above</t>
  </si>
  <si>
    <t>AL</t>
  </si>
  <si>
    <t>Calls ALOOKUP to look up value above in selected range and return address</t>
  </si>
  <si>
    <t>Count Errors</t>
  </si>
  <si>
    <t>CE</t>
  </si>
  <si>
    <t>Counts errors in the spilled array</t>
  </si>
  <si>
    <t>Move Right 11</t>
  </si>
  <si>
    <t>Navigation only - moves 11 cells to the right</t>
  </si>
  <si>
    <t>Go To Bonus 5</t>
  </si>
  <si>
    <t>B5</t>
  </si>
  <si>
    <t>Goes to bonus question 5</t>
  </si>
  <si>
    <t>Ctrl Right</t>
  </si>
  <si>
    <t>Duplicate Array Formula 2 To Right</t>
  </si>
  <si>
    <t>DF2</t>
  </si>
  <si>
    <t>B - Apply EZINDIRECT to array in cell from TerrainMap sheet</t>
  </si>
  <si>
    <t>Gets values from those cells in the TerrainMap</t>
  </si>
  <si>
    <t>Transpose Array</t>
  </si>
  <si>
    <t>T</t>
  </si>
  <si>
    <t>Applies TRANSPOSE to current array(s)</t>
  </si>
  <si>
    <t>Wrap in UNIQUE</t>
  </si>
  <si>
    <t>U</t>
  </si>
  <si>
    <t>Applies UNIQUE to current array(s)</t>
  </si>
  <si>
    <t>Count Rows Of Array</t>
  </si>
  <si>
    <t>Counts rows in current array(s)</t>
  </si>
  <si>
    <t>B - B5 - Go To 5</t>
  </si>
  <si>
    <t>Goes to cell in selection with value 5</t>
  </si>
  <si>
    <t>Go to First Cell in Row</t>
  </si>
  <si>
    <t>Select Right</t>
  </si>
  <si>
    <t>Duplicate Array Formula to Right</t>
  </si>
  <si>
    <t>Move Right 5</t>
  </si>
  <si>
    <t>C - Name Ranges: Collect Them All</t>
  </si>
  <si>
    <t>NRC</t>
  </si>
  <si>
    <t>Import Lambda Library</t>
  </si>
  <si>
    <t>IL</t>
  </si>
  <si>
    <t>Imports CompBot's lambda collection into the case workbook</t>
  </si>
  <si>
    <t>Dice Rolls To Totals</t>
  </si>
  <si>
    <t>DRT</t>
  </si>
  <si>
    <t>Running Totals By Row</t>
  </si>
  <si>
    <t>rt</t>
  </si>
  <si>
    <t>Array Robot Vol 1</t>
  </si>
  <si>
    <t>Wraps the active array with the RunningTotalsByRow lambda</t>
  </si>
  <si>
    <t>Modulo Array</t>
  </si>
  <si>
    <t>MODA</t>
  </si>
  <si>
    <t>Wraps the active array with MOD by a given divisor</t>
  </si>
  <si>
    <t>C - Board Position</t>
  </si>
  <si>
    <t>AS ABOVE WITH INPUT "40"</t>
  </si>
  <si>
    <t>Lookup Array from Column N</t>
  </si>
  <si>
    <t>LKN</t>
  </si>
  <si>
    <t>Board, 4</t>
  </si>
  <si>
    <t>Looks each value of the active array up in a table, returning a chosen column</t>
  </si>
  <si>
    <t>C - Lookup Board Price</t>
  </si>
  <si>
    <t>AS ABOVE WITH INPUT "Board", "4"</t>
  </si>
  <si>
    <t>;</t>
  </si>
  <si>
    <t>Converts a column of dice rolls into a grid of roll totals, one column per roll</t>
  </si>
  <si>
    <t>C - Dice Rolls To Totals</t>
  </si>
  <si>
    <t>AS ABOVE WITH INPUT ";"</t>
  </si>
  <si>
    <t>Compact Rows Left</t>
  </si>
  <si>
    <t>CRL</t>
  </si>
  <si>
    <t>Drops zeros and blanks from each row and packs the rest left, padded to the original width</t>
  </si>
  <si>
    <t>Keep First Column Of Array</t>
  </si>
  <si>
    <t>Wraps with formula to return first column of array</t>
  </si>
  <si>
    <t>kfc</t>
  </si>
  <si>
    <t>Sum Array By Row</t>
  </si>
  <si>
    <t>Wraps with formula to return sum of each row</t>
  </si>
  <si>
    <t>Subtract Array From Value</t>
  </si>
  <si>
    <t>SAV</t>
  </si>
  <si>
    <t>Subtracts the active array from a starting value</t>
  </si>
  <si>
    <t>C - Balance From 1500</t>
  </si>
  <si>
    <t>AS ABOVE WITH INPUT "1500"</t>
  </si>
  <si>
    <t>hours</t>
  </si>
  <si>
    <t>Duplicate Array Formula To Right</t>
  </si>
  <si>
    <t>df</t>
  </si>
  <si>
    <t>Board, 6</t>
  </si>
  <si>
    <t>C - Lookup Board Cashflow</t>
  </si>
  <si>
    <t>C - Laps Completed</t>
  </si>
  <si>
    <t>Multiply By Value</t>
  </si>
  <si>
    <t>MBV</t>
  </si>
  <si>
    <t>Multiplies the active cell or array by a given amount</t>
  </si>
  <si>
    <t>C - Collect $200 Passing New</t>
  </si>
  <si>
    <t>FOR</t>
  </si>
  <si>
    <t>Flags the first time each value appears in a row - 1 on first sight, 0 on every repeat</t>
  </si>
  <si>
    <t>Multiply Array to Left</t>
  </si>
  <si>
    <t>MA2L</t>
  </si>
  <si>
    <t>Subtract Array to Left</t>
  </si>
  <si>
    <t>SA2L</t>
  </si>
  <si>
    <t>Add Array to Left</t>
  </si>
  <si>
    <t>AA2L</t>
  </si>
  <si>
    <t>Adds the whole array immediately to the left to the active array</t>
  </si>
  <si>
    <t>AVA</t>
  </si>
  <si>
    <t>Adds a given amount to every value in the active cell or array</t>
  </si>
  <si>
    <t>C - Starting Balance 1500</t>
  </si>
  <si>
    <t>Divide By Value</t>
  </si>
  <si>
    <t>DBV</t>
  </si>
  <si>
    <t>First By Row</t>
  </si>
  <si>
    <t>Add Value</t>
  </si>
  <si>
    <t>First Negative By Row</t>
  </si>
  <si>
    <t>FNR</t>
  </si>
  <si>
    <t>Returns, for each row, the position of the first negative value</t>
  </si>
  <si>
    <t>First copy of the base block - an independent formula copy, so rewrapping one does not change the other</t>
  </si>
  <si>
    <t>Second copy of the base block - all three copies are taken before any wrap, so each copies the base and not a sibling</t>
  </si>
  <si>
    <t>Third copy of the base block - the cursor is left on it</t>
  </si>
  <si>
    <t>Select Array To Left</t>
  </si>
  <si>
    <t>SAL</t>
  </si>
  <si>
    <t>Back to the first sibling</t>
  </si>
  <si>
    <t>Back to the base block</t>
  </si>
  <si>
    <t>Select Array To Right</t>
  </si>
  <si>
    <t>SAR</t>
  </si>
  <si>
    <t>On to the cashflow block</t>
  </si>
  <si>
    <t>On to the New income block</t>
  </si>
  <si>
    <t>Creates the Board table over the game board block for structured references, adds a numeric Cashflow column derived from Action (New forced to 0), then hands back to the Case sheet with its used range selected and fixes the layout - single-row merges to centre across selection, multi-row merges unmerged with the value kept top-left</t>
  </si>
  <si>
    <t>Name Used Ranges On All Sheets</t>
  </si>
  <si>
    <t>nur</t>
  </si>
  <si>
    <t>Names the used range on each sheet using a sanitised version of the sheet name</t>
  </si>
  <si>
    <t>C - Select Level 4 Inputs</t>
  </si>
  <si>
    <t>Order Row Pairs By First Column</t>
  </si>
  <si>
    <t>ORP</t>
  </si>
  <si>
    <t>Remove First Column Of Array</t>
  </si>
  <si>
    <t>First copy of the base block</t>
  </si>
  <si>
    <t>Second copy of the base block</t>
  </si>
  <si>
    <t>Keep Last Column Of Array</t>
  </si>
  <si>
    <t>Back to the second sibling</t>
  </si>
  <si>
    <t>First By Alternating Row Pairs</t>
  </si>
  <si>
    <t>FAR</t>
  </si>
  <si>
    <t>On to the price block</t>
  </si>
  <si>
    <t>Max Of Row Pairs</t>
  </si>
  <si>
    <t>MRP</t>
  </si>
  <si>
    <t>Insert Blank Row Between Rows</t>
  </si>
  <si>
    <t>IBR</t>
  </si>
  <si>
    <t>Doubles the height with a blank row after every row, so each answer lands on its game's first row</t>
  </si>
  <si>
    <t>C - Select Level 5 Inputs</t>
  </si>
  <si>
    <t>Selects the Level 5 Dice Rolls column, two rows per game, from the first data row below the two-row example block to the bottom of the data</t>
  </si>
  <si>
    <t>Copy of the positions - becomes the category block</t>
  </si>
  <si>
    <t>Ownership mask - 1 where the player is the first of the two to land on the space, taking moves in turn</t>
  </si>
  <si>
    <t>On to the positions copy</t>
  </si>
  <si>
    <t>Board, 3</t>
  </si>
  <si>
    <t>C - Lookup Board Category</t>
  </si>
  <si>
    <t>Copy of the owned categories - the cursor is left on it</t>
  </si>
  <si>
    <t>Running Count Of Each Value By Row</t>
  </si>
  <si>
    <t>RCR</t>
  </si>
  <si>
    <t>How many functions of that category the player owns by this move</t>
  </si>
  <si>
    <t>Back to the first category block</t>
  </si>
  <si>
    <t>Count Each Value In Range</t>
  </si>
  <si>
    <t>CER</t>
  </si>
  <si>
    <t>Board[Category]</t>
  </si>
  <si>
    <t>Replaces each value with how many cells of a range equal it (CompBot lambda CountMatches_byJaqKennedy)</t>
  </si>
  <si>
    <t>C - Count In Board Categories</t>
  </si>
  <si>
    <t>On to the running counts</t>
  </si>
  <si>
    <t>Owned minus category size - 0 on the move a category is completed, negative while collecting, positive for no category</t>
  </si>
  <si>
    <t>First Match By Row</t>
  </si>
  <si>
    <t>FMR</t>
  </si>
  <si>
    <t>0, 50</t>
  </si>
  <si>
    <t>Returns, for each row, the position of the first cell equal to a value, or a fallback where the row never matches</t>
  </si>
  <si>
    <t>C - First Complete Turn Else 50</t>
  </si>
  <si>
    <t>Min Of Row Pairs</t>
  </si>
  <si>
    <t>MNRP</t>
  </si>
  <si>
    <t>C - Select Dice Rolls Inputs</t>
  </si>
  <si>
    <t>Create Case Inputs Sheet</t>
  </si>
  <si>
    <t>CIS</t>
  </si>
  <si>
    <t>Loads every game's inputs onto a CaseInputs sheet - examples excluded, both player rows of two-row games kept, columns matched by header across levels (detailed mode, from the active cell)</t>
  </si>
  <si>
    <t>ccs</t>
  </si>
  <si>
    <t>Select Input Column</t>
  </si>
  <si>
    <t>SIC</t>
  </si>
  <si>
    <t>Dice Rolls</t>
  </si>
  <si>
    <t>Goes to the CaseInputs sheet and selects every value under a given header</t>
  </si>
  <si>
    <t>Count Text Occurrences</t>
  </si>
  <si>
    <t>CTO</t>
  </si>
  <si>
    <t>"⚅ ⚅"</t>
  </si>
  <si>
    <t>Replaces each value with how many times a given text occurs inside it (CompBot lambda CountOcc_byHadynWiseman)</t>
  </si>
  <si>
    <t>C - Count Double Sixes</t>
  </si>
  <si>
    <t>Make Array On Calc Sheet</t>
  </si>
  <si>
    <t>MAC</t>
  </si>
  <si>
    <t>Save Answer To Bonus 1</t>
  </si>
  <si>
    <t>AB1</t>
  </si>
  <si>
    <t>Links the total into the Bonus 1 answer cell, goes there and copies it</t>
  </si>
  <si>
    <t>Save Answer To Bonus 2</t>
  </si>
  <si>
    <t>AB2</t>
  </si>
  <si>
    <t>Links the total into the Bonus 2 answer cell, goes there and copies it</t>
  </si>
  <si>
    <t>Selects the Level 5 Dice Rolls column, two rows per game, below the two-row example block</t>
  </si>
  <si>
    <t>Wraps the active array with whole-number division by a given divisor</t>
  </si>
  <si>
    <t>Max Of Array</t>
  </si>
  <si>
    <t>Save Answer To Bonus 3</t>
  </si>
  <si>
    <t>AB3</t>
  </si>
  <si>
    <t>Links the result into the Bonus 3 answer cell, goes there and copies it</t>
  </si>
  <si>
    <t>Notes</t>
  </si>
  <si>
    <t>made at setup because creating a sheet cancels a copy</t>
  </si>
  <si>
    <t>cumulative spaces moved, the base block</t>
  </si>
  <si>
    <t>the lap count</t>
  </si>
  <si>
    <t>third sibling done, the money collected passing New</t>
  </si>
  <si>
    <t>back to the second sibling</t>
  </si>
  <si>
    <t>second sibling done, the fines and bonuses</t>
  </si>
  <si>
    <t>first sibling done, the price of each space landed on</t>
  </si>
  <si>
    <t>rewraps the base block now its siblings are built</t>
  </si>
  <si>
    <t>on to the price block</t>
  </si>
  <si>
    <t>charges each price once</t>
  </si>
  <si>
    <t>fines and bonuses less the spend</t>
  </si>
  <si>
    <t>cumulative net cash</t>
  </si>
  <si>
    <t>the generic Select First / Last Input assume a one-row example</t>
  </si>
  <si>
    <t>the higher deciding throw moves first</t>
  </si>
  <si>
    <t>the deciding throw</t>
  </si>
  <si>
    <t>cumulative spaces moved per player, the base block</t>
  </si>
  <si>
    <t>laps after the tenth throw</t>
  </si>
  <si>
    <t>third sibling done, New income per player</t>
  </si>
  <si>
    <t>charges each price once across both players</t>
  </si>
  <si>
    <t>cumulative net cash per player</t>
  </si>
  <si>
    <t>each player's balance after ten rounds</t>
  </si>
  <si>
    <t>the higher balance of the two players</t>
  </si>
  <si>
    <t>the deciding throw, leaving 49 moves</t>
  </si>
  <si>
    <t>cumulative spaces moved per player</t>
  </si>
  <si>
    <t>board position after each move, the base block</t>
  </si>
  <si>
    <t>spaces the player does not own become 0 (New, no category)</t>
  </si>
  <si>
    <t>category of each owned space, 0 where there is none</t>
  </si>
  <si>
    <t>size of each category, 0 where there is none</t>
  </si>
  <si>
    <t>each player's first completed-category turn, 50 if never</t>
  </si>
  <si>
    <t>the earlier of the two players</t>
  </si>
  <si>
    <t>every game's dice, both players, examples excluded</t>
  </si>
  <si>
    <t>throws of 12 in each game row</t>
  </si>
  <si>
    <t>total throws of 12</t>
  </si>
  <si>
    <t>dice rolls</t>
  </si>
  <si>
    <t>pips of every throw, deciding throws included</t>
  </si>
  <si>
    <t>total pips</t>
  </si>
  <si>
    <t>Level 5 dice rolls</t>
  </si>
  <si>
    <t>the deciding throw is not a move</t>
  </si>
  <si>
    <t>spaces moved per player</t>
  </si>
  <si>
    <t>full laps per player</t>
  </si>
  <si>
    <t>the largest number of laps</t>
  </si>
  <si>
    <t>Creates a blank Calcs sheet for side calculations</t>
  </si>
  <si>
    <t>Copies the active array formula to the right as an independent exact formula</t>
  </si>
  <si>
    <t>AS ABOVE WITH INPUT "200"</t>
  </si>
  <si>
    <t>Selects the anchor of the array block immediately to the left</t>
  </si>
  <si>
    <t>AS ABOVE WITH INPUT "Board", "6"</t>
  </si>
  <si>
    <t>Selects the anchor of the array block immediately to the right</t>
  </si>
  <si>
    <t>Multiplies the active array by the whole array immediately to its left</t>
  </si>
  <si>
    <t>Subtracts the whole array immediately to the left from the active array</t>
  </si>
  <si>
    <t>Selects the Level 4 Dice Rolls column, two rows per game, from the first data row below the two-row example block to the bottom of the data</t>
  </si>
  <si>
    <t>Puts the row with the larger first-column value first in each row pair, ties keep order</t>
  </si>
  <si>
    <t>Wrap with DROP function to drop first column of array</t>
  </si>
  <si>
    <t>Wraps with formula to return last column of array</t>
  </si>
  <si>
    <t>Flags the first sighting of each value across each pair of rows, taking their moves in turn - 1 on first sight, 0 when either row has had it before</t>
  </si>
  <si>
    <t>Collapses each pair of rows to the larger value</t>
  </si>
  <si>
    <t>AS ABOVE WITH INPUT "Board", "3"</t>
  </si>
  <si>
    <t>Replaces each value with how many times it has appeared so far in its row</t>
  </si>
  <si>
    <t>AS ABOVE WITH INPUT "Board[Category]"</t>
  </si>
  <si>
    <t>AS ABOVE WITH INPUT "0", "50"</t>
  </si>
  <si>
    <t>Collapses each pair of rows to the smaller value</t>
  </si>
  <si>
    <t>AS ABOVE WITH INPUT "Dice Rolls"</t>
  </si>
  <si>
    <t>Links the selection into the next free slot on the Calcs sheet, clear of the case data</t>
  </si>
  <si>
    <t>AS ABOVE WITH INPUT "⚅ ⚅"</t>
  </si>
  <si>
    <t>Wrap with SUM function</t>
  </si>
  <si>
    <t>Wrap with MAX function</t>
  </si>
  <si>
    <t>Command Groups</t>
  </si>
  <si>
    <t>Group</t>
  </si>
  <si>
    <t>Leaderboard</t>
  </si>
  <si>
    <t>Navigation (walkthrough only)</t>
  </si>
  <si>
    <t>Case lambda (Bushland only)</t>
  </si>
  <si>
    <t>Go To Level N</t>
  </si>
  <si>
    <t>Yes</t>
  </si>
  <si>
    <t>Go To Bonus N</t>
  </si>
  <si>
    <t>Save Answer To Bonus N</t>
  </si>
  <si>
    <t>Save Answer To Bonus 4</t>
  </si>
  <si>
    <t>Save Answer To Bonus 5</t>
  </si>
  <si>
    <t>Multiply By X</t>
  </si>
  <si>
    <t>Divide By X</t>
  </si>
  <si>
    <t>Add / Subtract X</t>
  </si>
  <si>
    <t>Combine With Array To Left</t>
  </si>
  <si>
    <t>Combine With Array Above</t>
  </si>
  <si>
    <t>Get Array N Up</t>
  </si>
  <si>
    <t>Duplicate Formula / Array</t>
  </si>
  <si>
    <t>Duplicate Array To Right</t>
  </si>
  <si>
    <t>Lookup From Column N</t>
  </si>
  <si>
    <t>Address Lookup</t>
  </si>
  <si>
    <t>Keep / Drop Column Of Array</t>
  </si>
  <si>
    <t>Min / Max Of Row Pairs</t>
  </si>
  <si>
    <t>First Occurrence Flags</t>
  </si>
  <si>
    <t>First Position By Row</t>
  </si>
  <si>
    <t>Count Rows / Columns Of Array</t>
  </si>
  <si>
    <t>Count Columns Of Arrays</t>
  </si>
  <si>
    <t>Select Input And Remove Text</t>
  </si>
  <si>
    <t>Moves or selects cells so the automated replay can steer - a keypress or click in competition</t>
  </si>
  <si>
    <t>A lambda that only works for one case - should have been a case-specific command</t>
  </si>
  <si>
    <t>Jumps to Level N's heading on whichever sheet holds it (L1, L2, ...)</t>
  </si>
  <si>
    <t>Jumps to Bonus N's heading on whichever sheet holds it (B1, B2, ...)</t>
  </si>
  <si>
    <t>Links the active result into Bonus N's answer cell, goes there and copies it</t>
  </si>
  <si>
    <t>Multiplies the active cell or array by a number (Multiply By Value, or fixed 2 / 60 / 1000)</t>
  </si>
  <si>
    <t>Divides the active array by a number (Divide By Value, or fixed 2)</t>
  </si>
  <si>
    <t>Adds a number to, or subtracts one from, the active cell or array</t>
  </si>
  <si>
    <t>Adds, subtracts, multiplies or divides the active array with the array to its left (or the leftmost array)</t>
  </si>
  <si>
    <t>Adds or multiplies the active array with an array or value a set number of cells above</t>
  </si>
  <si>
    <t>Links to the spilled array N cells above</t>
  </si>
  <si>
    <t>Points a new array formula at the selection - N columns to the right, or on the Calcs sheet</t>
  </si>
  <si>
    <t>Copies the active formula or array to the right or below as an exact formula</t>
  </si>
  <si>
    <t>Returns what sits at the cell addresses held in the active array, from a named range</t>
  </si>
  <si>
    <t>Keeps the first or last column of the active array, or drops the first</t>
  </si>
  <si>
    <t>Collapses each pair of rows to the smaller or larger value</t>
  </si>
  <si>
    <t>1 the first time each value appears in a row (or across alternating row pairs), 0 on repeats</t>
  </si>
  <si>
    <t>For each row, the position of the first negative value or the first match</t>
  </si>
  <si>
    <t>Counts the rows or columns of the active array</t>
  </si>
  <si>
    <t>Selects an input column and strips a unit such as km or hours</t>
  </si>
  <si>
    <t>Builds a data table block from the example calculation</t>
  </si>
  <si>
    <t>Command Group</t>
  </si>
  <si>
    <t>Commands (code)</t>
  </si>
  <si>
    <t>Cases</t>
  </si>
  <si>
    <t>Copy of the answers without blank rows - the values to paste into the merged answer cells</t>
  </si>
  <si>
    <t>Back to the answers to insert the blank rows</t>
  </si>
  <si>
    <t>Run Data Table</t>
  </si>
  <si>
    <t>RDT</t>
  </si>
  <si>
    <t>Fills the data table block with static results for every game</t>
  </si>
  <si>
    <t>Replaces Select First Answer Cell + Paste As References: Create Data Table links the answers itself (since 2026-09-14)</t>
  </si>
  <si>
    <t>B - B5 - Game And Missing Terrain</t>
  </si>
  <si>
    <t>From the 5: links game #, finds the missing terrain letter, CONCATs them and links the Bonus 5 answer</t>
  </si>
  <si>
    <t>Replaces 19 steps (key presses Home / Ctrl Right / Select Right and clipboard pastes) that failed when Excel's front window was not the case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</si>
</sst>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0.0"/>
  </numFmts>
  <fonts count="12" x14ac:knownFonts="1">
    <font>
      <sz val="16"/>
      <color theme="1"/>
      <name val="Verdana"/>
      <family val="2"/>
    </font>
    <font>
      <i/>
      <sz val="16"/>
      <color rgb="FF7F7F7F"/>
      <name val="Verdana"/>
      <family val="2"/>
    </font>
    <font>
      <sz val="14"/>
      <color theme="1"/>
      <name val="Aptos Narrow"/>
      <family val="2"/>
      <scheme val="minor"/>
    </font>
    <font>
      <b/>
      <sz val="14"/>
      <color theme="1"/>
      <name val="Aptos Narrow"/>
      <family val="2"/>
      <scheme val="minor"/>
    </font>
    <font>
      <b/>
      <sz val="15"/>
      <color theme="3"/>
      <name val="Aptos Narrow"/>
      <family val="2"/>
      <scheme val="minor"/>
    </font>
    <font>
      <b/>
      <sz val="48"/>
      <color theme="3"/>
      <name val="Aptos Narrow"/>
      <family val="2"/>
      <scheme val="minor"/>
    </font>
    <font>
      <sz val="14"/>
      <color rgb="FF0000FF"/>
      <name val="Aptos Narrow"/>
      <family val="2"/>
      <scheme val="minor"/>
    </font>
    <font>
      <sz val="11"/>
      <name val="Roboto"/>
    </font>
    <font>
      <b/>
      <sz val="11"/>
      <color theme="0"/>
      <name val="Roboto"/>
    </font>
    <font>
      <sz val="12"/>
      <color theme="7" tint="-0.499984740745262"/>
      <name val="Roboto"/>
    </font>
    <font>
      <b/>
      <sz val="15"/>
      <color rgb="FF0E2841"/>
      <name val="Aptos Narrow"/>
      <family val="2"/>
      <scheme val="minor"/>
    </font>
    <font>
      <sz val="10"/>
      <color theme="3"/>
      <name val="Aptos Narrow"/>
      <family val="2"/>
      <scheme val="minor"/>
    </font>
  </fonts>
  <fills count="5">
    <fill>
      <patternFill patternType="none"/>
    </fill>
    <fill>
      <patternFill patternType="gray125"/>
    </fill>
    <fill>
      <patternFill patternType="solid">
        <fgColor rgb="FFFFFFCC"/>
        <bgColor indexed="64"/>
      </patternFill>
    </fill>
    <fill>
      <patternFill patternType="solid">
        <fgColor rgb="FFFFFF00"/>
        <bgColor indexed="64"/>
      </patternFill>
    </fill>
    <fill>
      <patternFill patternType="solid">
        <fgColor rgb="FF228AB8"/>
        <bgColor indexed="64"/>
      </patternFill>
    </fill>
  </fills>
  <borders count="6">
    <border>
      <left/>
      <right/>
      <top/>
      <bottom/>
      <diagonal/>
    </border>
    <border>
      <left/>
      <right/>
      <top/>
      <bottom style="thick">
        <color theme="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thick">
        <color rgb="FF156082"/>
      </bottom>
      <diagonal/>
    </border>
  </borders>
  <cellStyleXfs count="4">
    <xf numFmtId="0" fontId="0" fillId="0" borderId="0"/>
    <xf numFmtId="0" fontId="1" fillId="0" borderId="0" applyNumberFormat="0" applyFill="0" applyBorder="0" applyAlignment="0" applyProtection="0"/>
    <xf numFmtId="0" fontId="2" fillId="0" borderId="0"/>
    <xf numFmtId="0" fontId="4" fillId="0" borderId="1" applyNumberFormat="0" applyFill="0" applyAlignment="0" applyProtection="0"/>
  </cellStyleXfs>
  <cellXfs count="29">
    <xf numFmtId="0" fontId="0" fillId="0" borderId="0" xfId="0"/>
    <xf numFmtId="0" fontId="2" fillId="0" borderId="0" xfId="2"/>
    <xf numFmtId="164" fontId="2" fillId="0" borderId="0" xfId="2" applyNumberFormat="1"/>
    <xf numFmtId="0" fontId="3" fillId="0" borderId="0" xfId="2" applyFont="1" applyAlignment="1">
      <alignment horizontal="centerContinuous"/>
    </xf>
    <xf numFmtId="0" fontId="2" fillId="0" borderId="0" xfId="2" applyAlignment="1">
      <alignment horizontal="centerContinuous"/>
    </xf>
    <xf numFmtId="0" fontId="3" fillId="0" borderId="0" xfId="2" applyFont="1"/>
    <xf numFmtId="0" fontId="3" fillId="0" borderId="0" xfId="2" applyFont="1" applyAlignment="1">
      <alignment wrapText="1"/>
    </xf>
    <xf numFmtId="0" fontId="5" fillId="0" borderId="1" xfId="3" applyFont="1" applyAlignment="1">
      <alignment horizontal="centerContinuous"/>
    </xf>
    <xf numFmtId="0" fontId="2" fillId="0" borderId="0" xfId="2" applyAlignment="1">
      <alignment horizontal="center" vertical="center"/>
    </xf>
    <xf numFmtId="0" fontId="2" fillId="0" borderId="0" xfId="2" applyAlignment="1">
      <alignment wrapText="1"/>
    </xf>
    <xf numFmtId="0" fontId="2" fillId="0" borderId="0" xfId="2" applyAlignment="1">
      <alignment horizontal="center" vertical="center"/>
      <extLst>
        <ext xmlns:xfpb="http://schemas.microsoft.com/office/spreadsheetml/2022/featurepropertybag" uri="{C7286773-470A-42A8-94C5-96B5CB345126}">
          <xfpb:xfComplement i="0"/>
        </ext>
      </extLst>
    </xf>
    <xf numFmtId="0" fontId="4" fillId="0" borderId="1" xfId="3" applyAlignment="1">
      <alignment horizontal="centerContinuous"/>
    </xf>
    <xf numFmtId="0" fontId="2" fillId="0" borderId="0" xfId="2">
      <extLst>
        <ext xmlns:xfpb="http://schemas.microsoft.com/office/spreadsheetml/2022/featurepropertybag" uri="{C7286773-470A-42A8-94C5-96B5CB345126}">
          <xfpb:xfComplement i="0"/>
        </ext>
      </extLst>
    </xf>
    <xf numFmtId="0" fontId="1" fillId="0" borderId="0" xfId="1"/>
    <xf numFmtId="0" fontId="3" fillId="0" borderId="0" xfId="2" applyFont="1" applyAlignment="1">
      <alignment horizontal="right"/>
    </xf>
    <xf numFmtId="0" fontId="6" fillId="2" borderId="2" xfId="2" applyFont="1" applyFill="1" applyBorder="1"/>
    <xf numFmtId="0" fontId="2" fillId="3" borderId="0" xfId="2" applyFill="1"/>
    <xf numFmtId="0" fontId="7" fillId="0" borderId="0" xfId="0" applyFont="1"/>
    <xf numFmtId="3" fontId="8" fillId="4" borderId="3" xfId="0" applyNumberFormat="1" applyFont="1" applyFill="1" applyBorder="1" applyAlignment="1">
      <alignment horizontal="centerContinuous" vertical="center"/>
    </xf>
    <xf numFmtId="3" fontId="8" fillId="4" borderId="3" xfId="0" applyNumberFormat="1" applyFont="1" applyFill="1" applyBorder="1" applyAlignment="1">
      <alignment horizontal="centerContinuous" vertical="center" wrapText="1"/>
    </xf>
    <xf numFmtId="0" fontId="9" fillId="0" borderId="4" xfId="0" applyFont="1" applyBorder="1" applyAlignment="1">
      <alignment horizontal="center" vertical="center"/>
    </xf>
    <xf numFmtId="165" fontId="9" fillId="0" borderId="4" xfId="0" applyNumberFormat="1" applyFont="1" applyBorder="1" applyAlignment="1">
      <alignment horizontal="center" vertical="center"/>
    </xf>
    <xf numFmtId="0" fontId="10" fillId="0" borderId="5" xfId="2" applyFont="1" applyBorder="1" applyAlignment="1">
      <alignment horizontal="centerContinuous"/>
    </xf>
    <xf numFmtId="0" fontId="11" fillId="0" borderId="1" xfId="3" applyFont="1" applyAlignment="1">
      <alignment horizontal="left"/>
    </xf>
    <xf numFmtId="0" fontId="2" fillId="0" borderId="0" xfId="2" applyAlignment="1">
      <alignment vertical="top"/>
    </xf>
    <xf numFmtId="0" fontId="2" fillId="0" borderId="0" xfId="2" applyAlignment="1">
      <alignment vertical="top" wrapText="1"/>
    </xf>
    <xf numFmtId="0" fontId="3" fillId="0" borderId="0" xfId="2" applyFont="1" applyAlignment="1">
      <alignment horizontal="center" vertical="top"/>
    </xf>
    <xf numFmtId="0" fontId="2" fillId="0" borderId="0" xfId="2" applyAlignment="1">
      <alignment horizontal="center" vertical="top"/>
      <extLst>
        <ext xmlns:xfpb="http://schemas.microsoft.com/office/spreadsheetml/2022/featurepropertybag" uri="{C7286773-470A-42A8-94C5-96B5CB345126}">
          <xfpb:xfComplement i="0"/>
        </ext>
      </extLst>
    </xf>
    <xf numFmtId="0" fontId="2" fillId="0" borderId="0" xfId="2" applyAlignment="1">
      <alignment horizontal="center" wrapText="1"/>
    </xf>
  </cellXfs>
  <cellStyles count="4">
    <cellStyle name="Explanatory Text" xfId="1" builtinId="53"/>
    <cellStyle name="Heading 1 2" xfId="3" xr:uid="{C0C9BA8D-8816-47D4-8C4E-DE7F944E685C}"/>
    <cellStyle name="Normal" xfId="0" builtinId="0"/>
    <cellStyle name="Normal 2" xfId="2" xr:uid="{613F73BE-C2EF-4B42-9253-FA65D218F959}"/>
  </cellStyles>
  <dxfs count="17">
    <dxf>
      <font>
        <strike/>
        <color rgb="FF808080"/>
      </font>
      <fill>
        <patternFill>
          <bgColor rgb="FFBFBFBF"/>
        </patternFill>
      </fill>
    </dxf>
    <dxf>
      <font>
        <strike/>
        <color rgb="FF808080"/>
      </font>
      <fill>
        <patternFill>
          <bgColor rgb="FFBFBFBF"/>
        </patternFill>
      </fill>
    </dxf>
    <dxf>
      <font>
        <b val="0"/>
        <i val="0"/>
        <strike val="0"/>
        <condense val="0"/>
        <extend val="0"/>
        <outline val="0"/>
        <shadow val="0"/>
        <u val="none"/>
        <vertAlign val="baseline"/>
        <sz val="12"/>
        <color theme="7" tint="-0.499984740745262"/>
        <name val="Roboto"/>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7" tint="-0.499984740745262"/>
        <name val="Roboto"/>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top style="medium">
          <color indexed="64"/>
        </top>
        <bottom style="thin">
          <color indexed="64"/>
        </bottom>
      </border>
    </dxf>
    <dxf>
      <border outline="0">
        <bottom style="medium">
          <color indexed="64"/>
        </bottom>
      </border>
    </dxf>
    <dxf>
      <font>
        <strike/>
        <color rgb="FF808080"/>
      </font>
      <fill>
        <patternFill>
          <bgColor rgb="FFBFBFBF"/>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trike/>
        <color theme="1" tint="0.34998626667073579"/>
      </font>
      <fill>
        <patternFill>
          <bgColor theme="0" tint="-0.24994659260841701"/>
        </patternFill>
      </fill>
    </dxf>
    <dxf>
      <font>
        <b/>
        <i val="0"/>
        <strike val="0"/>
        <condense val="0"/>
        <extend val="0"/>
        <outline val="0"/>
        <shadow val="0"/>
        <u val="none"/>
        <vertAlign val="baseline"/>
        <sz val="14"/>
        <color theme="1"/>
        <name val="Aptos Narrow"/>
        <family val="2"/>
        <scheme val="minor"/>
      </font>
    </dxf>
    <dxf>
      <numFmt numFmtId="0" formatCode="General"/>
    </dxf>
  </dxfs>
  <tableStyles count="1" defaultTableStyle="TableStyleMedium2" defaultPivotStyle="PivotStyleLight16">
    <tableStyle name="Invisible" pivot="0" table="0" count="0" xr9:uid="{F32B5B94-4615-4833-B2EF-EFC48D8F77B5}"/>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alcChain" Target="calcChain.xml"/><Relationship Id="rId26" Type="http://schemas.openxmlformats.org/officeDocument/2006/relationships/customXml" Target="../customXml/item8.xml"/><Relationship Id="rId39" Type="http://schemas.openxmlformats.org/officeDocument/2006/relationships/customXml" Target="../customXml/item21.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22/11/relationships/FeaturePropertyBag" Target="featurePropertyBag/featurePropertyBag.xml"/><Relationship Id="rId25" Type="http://schemas.openxmlformats.org/officeDocument/2006/relationships/customXml" Target="../customXml/item7.xml"/><Relationship Id="rId33" Type="http://schemas.openxmlformats.org/officeDocument/2006/relationships/customXml" Target="../customXml/item15.xml"/><Relationship Id="rId38" Type="http://schemas.openxmlformats.org/officeDocument/2006/relationships/customXml" Target="../customXml/item20.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6.xml"/><Relationship Id="rId32" Type="http://schemas.openxmlformats.org/officeDocument/2006/relationships/customXml" Target="../customXml/item14.xml"/><Relationship Id="rId37" Type="http://schemas.openxmlformats.org/officeDocument/2006/relationships/customXml" Target="../customXml/item19.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5.xml"/><Relationship Id="rId28" Type="http://schemas.openxmlformats.org/officeDocument/2006/relationships/customXml" Target="../customXml/item10.xml"/><Relationship Id="rId36" Type="http://schemas.openxmlformats.org/officeDocument/2006/relationships/customXml" Target="../customXml/item18.xml"/><Relationship Id="rId10" Type="http://schemas.openxmlformats.org/officeDocument/2006/relationships/worksheet" Target="worksheets/sheet10.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openxmlformats.org/officeDocument/2006/relationships/customXml" Target="../customXml/item17.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894593213022702E-2"/>
          <c:y val="2.4902706367118513E-2"/>
          <c:w val="0.96021081357395455"/>
          <c:h val="0.93609375579128762"/>
        </c:manualLayout>
      </c:layout>
      <c:lineChart>
        <c:grouping val="standard"/>
        <c:varyColors val="0"/>
        <c:ser>
          <c:idx val="0"/>
          <c:order val="0"/>
          <c:spPr>
            <a:ln w="28575" cap="rnd">
              <a:solidFill>
                <a:schemeClr val="accent1"/>
              </a:solidFill>
              <a:round/>
            </a:ln>
            <a:effectLst/>
          </c:spPr>
          <c:marker>
            <c:symbol val="none"/>
          </c:marker>
          <c:cat>
            <c:numRef>
              <c:f>B!$L$5:$L$18</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B!$M$5:$M$18</c:f>
              <c:numCache>
                <c:formatCode>General</c:formatCode>
                <c:ptCount val="14"/>
                <c:pt idx="0">
                  <c:v>9</c:v>
                </c:pt>
                <c:pt idx="1">
                  <c:v>17</c:v>
                </c:pt>
                <c:pt idx="2">
                  <c:v>19</c:v>
                </c:pt>
                <c:pt idx="3">
                  <c:v>3</c:v>
                </c:pt>
                <c:pt idx="4">
                  <c:v>16</c:v>
                </c:pt>
                <c:pt idx="5">
                  <c:v>5</c:v>
                </c:pt>
                <c:pt idx="6">
                  <c:v>18</c:v>
                </c:pt>
                <c:pt idx="7">
                  <c:v>50</c:v>
                </c:pt>
                <c:pt idx="8">
                  <c:v>38</c:v>
                </c:pt>
                <c:pt idx="9">
                  <c:v>1</c:v>
                </c:pt>
                <c:pt idx="10">
                  <c:v>19</c:v>
                </c:pt>
                <c:pt idx="11">
                  <c:v>11</c:v>
                </c:pt>
                <c:pt idx="12">
                  <c:v>9</c:v>
                </c:pt>
                <c:pt idx="13">
                  <c:v>3</c:v>
                </c:pt>
              </c:numCache>
            </c:numRef>
          </c:val>
          <c:smooth val="0"/>
          <c:extLst>
            <c:ext xmlns:c16="http://schemas.microsoft.com/office/drawing/2014/chart" uri="{C3380CC4-5D6E-409C-BE32-E72D297353CC}">
              <c16:uniqueId val="{00000000-A320-48A6-9912-3B3382A59EE0}"/>
            </c:ext>
          </c:extLst>
        </c:ser>
        <c:dLbls>
          <c:showLegendKey val="0"/>
          <c:showVal val="0"/>
          <c:showCatName val="0"/>
          <c:showSerName val="0"/>
          <c:showPercent val="0"/>
          <c:showBubbleSize val="0"/>
        </c:dLbls>
        <c:smooth val="0"/>
        <c:axId val="13929295"/>
        <c:axId val="13929775"/>
      </c:lineChart>
      <c:catAx>
        <c:axId val="13929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29775"/>
        <c:crosses val="autoZero"/>
        <c:auto val="1"/>
        <c:lblAlgn val="ctr"/>
        <c:lblOffset val="100"/>
        <c:noMultiLvlLbl val="0"/>
      </c:catAx>
      <c:valAx>
        <c:axId val="13929775"/>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39292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894593213022702E-2"/>
          <c:y val="2.4902706367118513E-2"/>
          <c:w val="0.96021081357395455"/>
          <c:h val="0.93609375579128762"/>
        </c:manualLayout>
      </c:layout>
      <c:lineChart>
        <c:grouping val="standard"/>
        <c:varyColors val="0"/>
        <c:ser>
          <c:idx val="0"/>
          <c:order val="0"/>
          <c:spPr>
            <a:ln w="28575" cap="rnd">
              <a:solidFill>
                <a:schemeClr val="accent1"/>
              </a:solidFill>
              <a:round/>
            </a:ln>
            <a:effectLst/>
          </c:spPr>
          <c:marker>
            <c:symbol val="none"/>
          </c:marker>
          <c:cat>
            <c:numRef>
              <c:f>'C'!$L$5:$L$18</c:f>
              <c:numCache>
                <c:formatCode>General</c:formatCode>
                <c:ptCount val="14"/>
                <c:pt idx="0">
                  <c:v>1</c:v>
                </c:pt>
                <c:pt idx="1">
                  <c:v>2</c:v>
                </c:pt>
                <c:pt idx="2">
                  <c:v>3</c:v>
                </c:pt>
                <c:pt idx="3">
                  <c:v>4</c:v>
                </c:pt>
              </c:numCache>
            </c:numRef>
          </c:cat>
          <c:val>
            <c:numRef>
              <c:f>'C'!$M$5:$M$18</c:f>
              <c:numCache>
                <c:formatCode>General</c:formatCode>
                <c:ptCount val="14"/>
                <c:pt idx="0">
                  <c:v>32</c:v>
                </c:pt>
                <c:pt idx="1">
                  <c:v>86</c:v>
                </c:pt>
                <c:pt idx="2">
                  <c:v>57</c:v>
                </c:pt>
                <c:pt idx="3">
                  <c:v>4</c:v>
                </c:pt>
              </c:numCache>
            </c:numRef>
          </c:val>
          <c:smooth val="0"/>
          <c:extLst>
            <c:ext xmlns:c16="http://schemas.microsoft.com/office/drawing/2014/chart" uri="{C3380CC4-5D6E-409C-BE32-E72D297353CC}">
              <c16:uniqueId val="{00000000-A320-48A6-9912-3B3382A59EE0}"/>
            </c:ext>
          </c:extLst>
        </c:ser>
        <c:dLbls>
          <c:showLegendKey val="0"/>
          <c:showVal val="0"/>
          <c:showCatName val="0"/>
          <c:showSerName val="0"/>
          <c:showPercent val="0"/>
          <c:showBubbleSize val="0"/>
        </c:dLbls>
        <c:smooth val="0"/>
        <c:axId val="13929295"/>
        <c:axId val="13929775"/>
      </c:lineChart>
      <c:catAx>
        <c:axId val="13929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29775"/>
        <c:crosses val="autoZero"/>
        <c:auto val="1"/>
        <c:lblAlgn val="ctr"/>
        <c:lblOffset val="100"/>
        <c:noMultiLvlLbl val="0"/>
      </c:catAx>
      <c:valAx>
        <c:axId val="13929775"/>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39292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894593213022702E-2"/>
          <c:y val="2.4902706367118513E-2"/>
          <c:w val="0.96021081357395455"/>
          <c:h val="0.93609375579128762"/>
        </c:manualLayout>
      </c:layout>
      <c:lineChart>
        <c:grouping val="standard"/>
        <c:varyColors val="0"/>
        <c:ser>
          <c:idx val="0"/>
          <c:order val="0"/>
          <c:spPr>
            <a:ln w="28575" cap="rnd">
              <a:solidFill>
                <a:schemeClr val="accent1"/>
              </a:solidFill>
              <a:round/>
            </a:ln>
            <a:effectLst/>
          </c:spPr>
          <c:marker>
            <c:symbol val="none"/>
          </c:marker>
          <c:val>
            <c:numRef>
              <c:f>Z!$M$5:$M$18</c:f>
              <c:numCache>
                <c:formatCode>General</c:formatCode>
                <c:ptCount val="14"/>
              </c:numCache>
            </c:numRef>
          </c:val>
          <c:smooth val="0"/>
          <c:extLst>
            <c:ext xmlns:c16="http://schemas.microsoft.com/office/drawing/2014/chart" uri="{C3380CC4-5D6E-409C-BE32-E72D297353CC}">
              <c16:uniqueId val="{00000000-9BCE-496C-AB66-AA164409EB62}"/>
            </c:ext>
          </c:extLst>
        </c:ser>
        <c:dLbls>
          <c:showLegendKey val="0"/>
          <c:showVal val="0"/>
          <c:showCatName val="0"/>
          <c:showSerName val="0"/>
          <c:showPercent val="0"/>
          <c:showBubbleSize val="0"/>
        </c:dLbls>
        <c:smooth val="0"/>
        <c:axId val="13929295"/>
        <c:axId val="13929775"/>
      </c:lineChart>
      <c:catAx>
        <c:axId val="13929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29775"/>
        <c:crosses val="autoZero"/>
        <c:auto val="1"/>
        <c:lblAlgn val="ctr"/>
        <c:lblOffset val="100"/>
        <c:noMultiLvlLbl val="0"/>
      </c:catAx>
      <c:valAx>
        <c:axId val="13929775"/>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39292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9</xdr:col>
      <xdr:colOff>94320</xdr:colOff>
      <xdr:row>9</xdr:row>
      <xdr:rowOff>38100</xdr:rowOff>
    </xdr:from>
    <xdr:to>
      <xdr:col>10</xdr:col>
      <xdr:colOff>696254</xdr:colOff>
      <xdr:row>12</xdr:row>
      <xdr:rowOff>40969</xdr:rowOff>
    </xdr:to>
    <xdr:pic>
      <xdr:nvPicPr>
        <xdr:cNvPr id="2" name="Robot Sticker">
          <a:extLst>
            <a:ext uri="{FF2B5EF4-FFF2-40B4-BE49-F238E27FC236}">
              <a16:creationId xmlns:a16="http://schemas.microsoft.com/office/drawing/2014/main" id="{EEB9D75D-5358-421D-AB39-DD7083DF32EB}"/>
            </a:ext>
          </a:extLst>
        </xdr:cNvPr>
        <xdr:cNvPicPr>
          <a:picLocks noChangeAspect="1"/>
        </xdr:cNvPicPr>
      </xdr:nvPicPr>
      <xdr:blipFill>
        <a:blip xmlns:r="http://schemas.openxmlformats.org/officeDocument/2006/relationships" r:embed="rId1"/>
        <a:stretch>
          <a:fillRect/>
        </a:stretch>
      </xdr:blipFill>
      <xdr:spPr>
        <a:xfrm>
          <a:off x="6961845" y="2457450"/>
          <a:ext cx="1440134" cy="7172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630650</xdr:colOff>
      <xdr:row>1</xdr:row>
      <xdr:rowOff>66675</xdr:rowOff>
    </xdr:from>
    <xdr:to>
      <xdr:col>4</xdr:col>
      <xdr:colOff>3915166</xdr:colOff>
      <xdr:row>1</xdr:row>
      <xdr:rowOff>445220</xdr:rowOff>
    </xdr:to>
    <xdr:grpSp>
      <xdr:nvGrpSpPr>
        <xdr:cNvPr id="2" name="Group 1">
          <a:extLst>
            <a:ext uri="{FF2B5EF4-FFF2-40B4-BE49-F238E27FC236}">
              <a16:creationId xmlns:a16="http://schemas.microsoft.com/office/drawing/2014/main" id="{8E2F491D-8FD1-42D4-9149-7ED5E9806E3F}"/>
            </a:ext>
          </a:extLst>
        </xdr:cNvPr>
        <xdr:cNvGrpSpPr/>
      </xdr:nvGrpSpPr>
      <xdr:grpSpPr>
        <a:xfrm>
          <a:off x="5337121" y="201146"/>
          <a:ext cx="4012898" cy="378545"/>
          <a:chOff x="5334232" y="204149"/>
          <a:chExt cx="4020986" cy="378545"/>
        </a:xfrm>
      </xdr:grpSpPr>
      <xdr:pic>
        <xdr:nvPicPr>
          <xdr:cNvPr id="3" name="Picture 2" descr="Click Here for a Random Case">
            <a:extLst>
              <a:ext uri="{FF2B5EF4-FFF2-40B4-BE49-F238E27FC236}">
                <a16:creationId xmlns:a16="http://schemas.microsoft.com/office/drawing/2014/main" id="{61A675F8-A5BB-DDB3-3063-0200E2936C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232" y="204149"/>
            <a:ext cx="4020986" cy="378545"/>
          </a:xfrm>
          <a:prstGeom prst="rect">
            <a:avLst/>
          </a:prstGeom>
          <a:solidFill>
            <a:srgbClr val="000000">
              <a:shade val="95000"/>
            </a:srgbClr>
          </a:solidFill>
          <a:ln w="28575" cap="sq">
            <a:solidFill>
              <a:srgbClr val="000000"/>
            </a:solidFill>
            <a:miter lim="800000"/>
          </a:ln>
          <a:effectLst>
            <a:outerShdw blurRad="254000" dist="190500" dir="2700000" sy="90000" algn="bl" rotWithShape="0">
              <a:srgbClr val="000000">
                <a:alpha val="40000"/>
              </a:srgbClr>
            </a:outerShdw>
          </a:effectLst>
        </xdr:spPr>
      </xdr:pic>
      <xdr:sp macro="[0]!GetNextCase" textlink="">
        <xdr:nvSpPr>
          <xdr:cNvPr id="4" name="TextBox 3">
            <a:extLst>
              <a:ext uri="{FF2B5EF4-FFF2-40B4-BE49-F238E27FC236}">
                <a16:creationId xmlns:a16="http://schemas.microsoft.com/office/drawing/2014/main" id="{4254DA29-E535-A6A3-C89D-A5FC544BAC87}"/>
              </a:ext>
            </a:extLst>
          </xdr:cNvPr>
          <xdr:cNvSpPr txBox="1"/>
        </xdr:nvSpPr>
        <xdr:spPr>
          <a:xfrm>
            <a:off x="5343760" y="213613"/>
            <a:ext cx="4001929" cy="359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400">
                <a:ln>
                  <a:solidFill>
                    <a:schemeClr val="tx1"/>
                  </a:solidFill>
                </a:ln>
                <a:solidFill>
                  <a:schemeClr val="bg1"/>
                </a:solidFill>
                <a:latin typeface="Aptos Black" panose="020B0004020202020204" pitchFamily="34" charset="0"/>
              </a:rPr>
              <a:t>Click for Random Case</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3401784</xdr:colOff>
      <xdr:row>0</xdr:row>
      <xdr:rowOff>95250</xdr:rowOff>
    </xdr:from>
    <xdr:to>
      <xdr:col>7</xdr:col>
      <xdr:colOff>775606</xdr:colOff>
      <xdr:row>1</xdr:row>
      <xdr:rowOff>122464</xdr:rowOff>
    </xdr:to>
    <xdr:graphicFrame macro="">
      <xdr:nvGraphicFramePr>
        <xdr:cNvPr id="2" name="Chart 1">
          <a:extLst>
            <a:ext uri="{FF2B5EF4-FFF2-40B4-BE49-F238E27FC236}">
              <a16:creationId xmlns:a16="http://schemas.microsoft.com/office/drawing/2014/main" id="{28B12D68-6FCD-4CCB-B46C-34EF0CE7ED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3388178</xdr:colOff>
      <xdr:row>0</xdr:row>
      <xdr:rowOff>95250</xdr:rowOff>
    </xdr:from>
    <xdr:to>
      <xdr:col>7</xdr:col>
      <xdr:colOff>767443</xdr:colOff>
      <xdr:row>1</xdr:row>
      <xdr:rowOff>217714</xdr:rowOff>
    </xdr:to>
    <xdr:graphicFrame macro="">
      <xdr:nvGraphicFramePr>
        <xdr:cNvPr id="3" name="Chart 2">
          <a:extLst>
            <a:ext uri="{FF2B5EF4-FFF2-40B4-BE49-F238E27FC236}">
              <a16:creationId xmlns:a16="http://schemas.microsoft.com/office/drawing/2014/main" id="{C05E4FD6-A679-4ACB-BEAF-843BC654FB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3374571</xdr:colOff>
      <xdr:row>0</xdr:row>
      <xdr:rowOff>95250</xdr:rowOff>
    </xdr:from>
    <xdr:to>
      <xdr:col>7</xdr:col>
      <xdr:colOff>759279</xdr:colOff>
      <xdr:row>1</xdr:row>
      <xdr:rowOff>217714</xdr:rowOff>
    </xdr:to>
    <xdr:graphicFrame macro="">
      <xdr:nvGraphicFramePr>
        <xdr:cNvPr id="3" name="Chart 2">
          <a:extLst>
            <a:ext uri="{FF2B5EF4-FFF2-40B4-BE49-F238E27FC236}">
              <a16:creationId xmlns:a16="http://schemas.microsoft.com/office/drawing/2014/main" id="{1F0A4296-46D4-4B19-9BB2-E4CB53B512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Jaq Kennedy" id="{8179EE88-3835-40EE-9205-C8CE87618497}" userId="534e1f3e8d9cda95"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604BDBD-4272-4DFF-B762-42D74EA81567}" autoFormatId="16" applyNumberFormats="0" applyBorderFormats="0" applyFontFormats="0" applyPatternFormats="0" applyAlignmentFormats="0" applyWidthHeightFormats="0">
  <queryTableRefresh nextId="6">
    <queryTableFields count="5">
      <queryTableField id="1" name="Name" tableColumnId="1"/>
      <queryTableField id="2" name="Author" tableColumnId="2"/>
      <queryTableField id="3" name="Tags" tableColumnId="3"/>
      <queryTableField id="4" name="Difficulty" tableColumnId="4"/>
      <queryTableField id="5" name="AccessLevelRequired"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91D9164-07EE-4EA9-9C43-4E54FCCF765A}" autoFormatId="16" applyNumberFormats="0" applyBorderFormats="0" applyFontFormats="0" applyPatternFormats="0" applyAlignmentFormats="0" applyWidthHeightFormats="0">
  <queryTableRefresh nextId="9">
    <queryTableFields count="6">
      <queryTableField id="1" name="Name" tableColumnId="1"/>
      <queryTableField id="2" name="Author" tableColumnId="2"/>
      <queryTableField id="3" name="Tags" tableColumnId="3"/>
      <queryTableField id="5" name="Difficulty" tableColumnId="5"/>
      <queryTableField id="7" name="Access Level" tableColumnId="7"/>
      <queryTableField id="6" name="Access"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C3EF24-BBF1-46FA-B795-FE30F08FB145}" name="ActiveCases" displayName="ActiveCases" ref="B2:F180" tableType="queryTable" totalsRowShown="0">
  <autoFilter ref="B2:F180" xr:uid="{17D972D6-DFF1-4C53-8AD6-3616452E54DC}"/>
  <tableColumns count="5">
    <tableColumn id="1" xr3:uid="{E4957C37-172B-4F6E-A302-81F7BC2053AB}" uniqueName="1" name="Name" queryTableFieldId="1" dataCellStyle="Normal 2"/>
    <tableColumn id="2" xr3:uid="{41663081-4367-42EC-A907-80DAEF5D768C}" uniqueName="2" name="Author" queryTableFieldId="2" dataCellStyle="Normal 2"/>
    <tableColumn id="3" xr3:uid="{31EF89AA-7729-4B76-92F5-EE1B4D79A55D}" uniqueName="3" name="Tags" queryTableFieldId="3" dataDxfId="16" dataCellStyle="Normal 2"/>
    <tableColumn id="4" xr3:uid="{E4D43AF6-6A7B-40C2-AB95-7108D33CED5D}" uniqueName="4" name="Difficulty" queryTableFieldId="4" dataCellStyle="Normal 2"/>
    <tableColumn id="5" xr3:uid="{45A5B0E0-EA16-43F6-8F79-F03078961DB8}" uniqueName="5" name="AccessLevelRequired" queryTableFieldId="5"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9E035C2-32FA-48DF-A266-AB097FE73275}" name="JaqCases" displayName="JaqCases" ref="I2:I130" totalsRowShown="0" headerRowDxfId="15">
  <autoFilter ref="I2:I130" xr:uid="{261462B0-8493-4FF3-8579-2EF117472980}"/>
  <sortState xmlns:xlrd2="http://schemas.microsoft.com/office/spreadsheetml/2017/richdata2" ref="I3:I130">
    <sortCondition ref="I3:I130"/>
  </sortState>
  <tableColumns count="1">
    <tableColumn id="1" xr3:uid="{6EC033FA-8E80-44CE-A780-B352E0D44E15}" name="Jaq's Cas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B719211-0DBD-47E5-813E-EC7A9E046724}" name="mapDifficulty" displayName="mapDifficulty" ref="K2:L6" totalsRowShown="0">
  <autoFilter ref="K2:L6" xr:uid="{FB4B0FB5-1E42-4C94-A004-E00C09399100}"/>
  <tableColumns count="2">
    <tableColumn id="1" xr3:uid="{5ACEDF3F-A924-4863-BC9E-BF42DBADC3EC}" name="Code"/>
    <tableColumn id="2" xr3:uid="{4401FC0C-6F93-4129-8DA9-8D7809B866E5}" name="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D04C92F-5AC1-426C-A524-6ED76642F9A3}" name="mapAccess" displayName="mapAccess" ref="N2:O5" totalsRowShown="0">
  <autoFilter ref="N2:O5" xr:uid="{B3F21ED8-8B2C-4BA7-AA00-FE4BDDFE2C39}"/>
  <tableColumns count="2">
    <tableColumn id="1" xr3:uid="{35539904-7C32-4F82-8449-5E3380328603}" name="Code"/>
    <tableColumn id="2" xr3:uid="{4CC3D7C9-DD1B-4299-94D8-7D16A1A58D08}" name="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94EBB22-4542-4C5B-8C7D-E6CFC76531A7}" name="CaseList" displayName="CaseList" ref="B4:G182" tableType="queryTable" totalsRowShown="0">
  <autoFilter ref="B4:G182" xr:uid="{ADD7086D-6EB5-49CD-B761-370DB20646FF}"/>
  <tableColumns count="6">
    <tableColumn id="1" xr3:uid="{319FA7F6-036A-4F7F-AB56-E4F8BFB3F10D}" uniqueName="1" name="Name" queryTableFieldId="1" dataDxfId="13" dataCellStyle="Normal 2"/>
    <tableColumn id="2" xr3:uid="{2CDA79A3-7A9E-4657-8F53-66C7A1ACA436}" uniqueName="2" name="Author" queryTableFieldId="2" dataDxfId="12" dataCellStyle="Normal 2"/>
    <tableColumn id="3" xr3:uid="{99CDD3BE-69D0-4229-BF2D-ED0D0AD94DAE}" uniqueName="3" name="Tags" queryTableFieldId="3" dataDxfId="11" dataCellStyle="Normal 2"/>
    <tableColumn id="5" xr3:uid="{258A5E30-EAB6-41E4-B66A-93EF8926FA64}" uniqueName="5" name="Difficulty" queryTableFieldId="5" dataDxfId="10" dataCellStyle="Normal 2"/>
    <tableColumn id="7" xr3:uid="{60A86A15-55E6-4563-87D9-CE7E3690B451}" uniqueName="7" name="Access Level" queryTableFieldId="7" dataDxfId="9" dataCellStyle="Normal 2"/>
    <tableColumn id="6" xr3:uid="{7B652787-D9B6-45F1-B747-440E19200224}" uniqueName="6" name="Access" queryTableFieldId="6" dataDxfId="8"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C73B3A5-ED70-4D6E-B3B9-EF916DBE7F94}" name="Speeds" displayName="Speeds" ref="R2:S3" totalsRowShown="0" headerRowBorderDxfId="6" tableBorderDxfId="5" totalsRowBorderDxfId="4">
  <autoFilter ref="R2:S3" xr:uid="{9C73B3A5-ED70-4D6E-B3B9-EF916DBE7F94}"/>
  <tableColumns count="2">
    <tableColumn id="1" xr3:uid="{3D0B449F-75FC-4E24-849A-32F10FE9861B}" name="Terrain" dataDxfId="3"/>
    <tableColumn id="2" xr3:uid="{337ACA28-55FE-4979-9987-FE8DBE9D364F}" name="Speed" dataDxfId="2"/>
  </tableColumns>
  <tableStyleInfo name="TableStyleDark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D78A561-535B-4E4D-8954-3400CD3E88AE}" name="tblCommandMap" displayName="tblCommandMap" ref="B4:D92" totalsRowShown="0">
  <autoFilter ref="B4:D92" xr:uid="{5D78A561-535B-4E4D-8954-3400CD3E88AE}"/>
  <tableColumns count="3">
    <tableColumn id="1" xr3:uid="{A5738033-4425-42C3-B356-5B07D93C0177}" name="Command"/>
    <tableColumn id="2" xr3:uid="{025D6B05-3508-4378-93F7-6BD55F4714F8}" name="Group"/>
    <tableColumn id="3" xr3:uid="{C2A16490-0DDF-4ADE-8C7C-0959084B8949}" name="Leaderboard"/>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D5D93D4-9DDE-4C63-B5BA-A28DDD25DF4A}" name="tblGroups" displayName="tblGroups" ref="F4:G26" totalsRowShown="0">
  <autoFilter ref="F4:G26" xr:uid="{1D5D93D4-9DDE-4C63-B5BA-A28DDD25DF4A}"/>
  <tableColumns count="2">
    <tableColumn id="1" xr3:uid="{B9083631-E28A-42BB-99F4-B0ADCF9C9F07}" name="Group"/>
    <tableColumn id="2" xr3:uid="{CF68D49A-D88A-48A7-83A6-5C8CB9818617}" name="Descriptio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E3" dT="2026-03-01T21:13:03.57" personId="{8179EE88-3835-40EE-9205-C8CE87618497}" id="{8FF22592-6C8A-4AE0-A2D5-3E3A95DBF971}">
    <text>Delete the values below to use this for your own cases!</text>
  </threadedComment>
</ThreadedComments>
</file>

<file path=xl/threadedComments/threadedComment2.xml><?xml version="1.0" encoding="utf-8"?>
<ThreadedComments xmlns="http://schemas.microsoft.com/office/spreadsheetml/2018/threadedcomments" xmlns:x="http://schemas.openxmlformats.org/spreadsheetml/2006/main">
  <threadedComment ref="G4" dT="2026-03-01T20:32:20.60" personId="{8179EE88-3835-40EE-9205-C8CE87618497}" id="{40B7A229-4663-4639-9C98-306FA3F2BD0E}">
    <text>Not useful outside of the case</text>
  </threadedComment>
</ThreadedComments>
</file>

<file path=xl/threadedComments/threadedComment3.xml><?xml version="1.0" encoding="utf-8"?>
<ThreadedComments xmlns="http://schemas.microsoft.com/office/spreadsheetml/2018/threadedcomments" xmlns:x="http://schemas.openxmlformats.org/spreadsheetml/2006/main">
  <threadedComment ref="H4" dT="2026-03-01T20:32:20.60" personId="{8179EE88-3835-40EE-9205-C8CE87618497}" id="{AC02A232-9335-4123-8357-BC54946A92D0}">
    <text>Not useful outside of this case</text>
  </threadedComment>
</ThreadedComments>
</file>

<file path=xl/threadedComments/threadedComment4.xml><?xml version="1.0" encoding="utf-8"?>
<ThreadedComments xmlns="http://schemas.microsoft.com/office/spreadsheetml/2018/threadedcomments" xmlns:x="http://schemas.openxmlformats.org/spreadsheetml/2006/main">
  <threadedComment ref="H4" dT="2026-03-01T20:32:20.60" personId="{8179EE88-3835-40EE-9205-C8CE87618497}" id="{8F9B88FA-CD3E-4C2F-B435-DF0B4BC5F724}">
    <text>Not useful outside of this case</text>
  </threadedComment>
</ThreadedComments>
</file>

<file path=xl/threadedComments/threadedComment5.xml><?xml version="1.0" encoding="utf-8"?>
<ThreadedComments xmlns="http://schemas.microsoft.com/office/spreadsheetml/2018/threadedcomments" xmlns:x="http://schemas.openxmlformats.org/spreadsheetml/2006/main">
  <threadedComment ref="H4" dT="2026-03-01T20:32:20.60" personId="{8179EE88-3835-40EE-9205-C8CE87618497}" id="{1B8394AC-2755-4F8F-8477-C5C15443B828}">
    <text>Not useful outside of this case</text>
  </threadedComment>
</ThreadedComments>
</file>

<file path=xl/threadedComments/threadedComment6.xml><?xml version="1.0" encoding="utf-8"?>
<ThreadedComments xmlns="http://schemas.microsoft.com/office/spreadsheetml/2018/threadedcomments" xmlns:x="http://schemas.openxmlformats.org/spreadsheetml/2006/main">
  <threadedComment ref="H4" dT="2026-03-01T20:32:20.60" personId="{8179EE88-3835-40EE-9205-C8CE87618497}" id="{9113FCB4-D163-41A3-A3A2-EC33483F7A43}">
    <text>Not useful outside of this case</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81" row="11">
    <wetp:webextensionref xmlns:r="http://schemas.openxmlformats.org/officeDocument/2006/relationships" r:id="rId1"/>
  </wetp:taskpane>
  <wetp:taskpane dockstate="right" visibility="0" width="438" row="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44D22945-7C39-455C-9CAB-AE1842BAD895}">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63FDA984-DCE2-400E-A840-C51334F7CEC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5AA4F52C-5B40-4334-8C9E-0682ACE43BB1}">
  <we:reference id="wa200009404" version="1.0.0.8" store="en-GB" storeType="OMEX"/>
  <we:alternateReferences>
    <we:reference id="WA200009404" version="1.0.0.8"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4.vml"/><Relationship Id="rId1" Type="http://schemas.openxmlformats.org/officeDocument/2006/relationships/drawing" Target="../drawings/drawing3.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4.xml"/><Relationship Id="rId4"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bin"/><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4C25C-9446-4E00-9565-8B761198B9EB}">
  <sheetPr codeName="Sheet6"/>
  <dimension ref="B2:K15"/>
  <sheetViews>
    <sheetView showGridLines="0" zoomScale="160" zoomScaleNormal="160" workbookViewId="0">
      <pane ySplit="2" topLeftCell="A4" activePane="bottomLeft" state="frozenSplit"/>
      <selection activeCell="I13" sqref="I13"/>
      <selection pane="bottomLeft"/>
    </sheetView>
  </sheetViews>
  <sheetFormatPr defaultColWidth="9.23046875" defaultRowHeight="18.75" x14ac:dyDescent="0.3"/>
  <cols>
    <col min="1" max="1" width="1.3046875" style="1" customWidth="1"/>
    <col min="2" max="16384" width="9.23046875" style="1"/>
  </cols>
  <sheetData>
    <row r="2" spans="2:11" ht="20.25" thickBot="1" x14ac:dyDescent="0.35">
      <c r="B2" s="11" t="s">
        <v>483</v>
      </c>
      <c r="C2" s="11"/>
      <c r="D2" s="11"/>
      <c r="E2" s="11"/>
      <c r="F2" s="11"/>
      <c r="G2" s="11"/>
      <c r="H2" s="11"/>
      <c r="I2" s="11"/>
      <c r="J2" s="11"/>
      <c r="K2" s="11"/>
    </row>
    <row r="3" spans="2:11" ht="19.5" thickTop="1" x14ac:dyDescent="0.3"/>
    <row r="4" spans="2:11" ht="38.25" customHeight="1" x14ac:dyDescent="0.3">
      <c r="B4" s="28" t="s">
        <v>484</v>
      </c>
      <c r="C4" s="28"/>
      <c r="D4" s="28"/>
      <c r="E4" s="28"/>
      <c r="F4" s="28"/>
      <c r="G4" s="28"/>
      <c r="H4" s="28"/>
      <c r="I4" s="28"/>
      <c r="J4" s="28"/>
    </row>
    <row r="6" spans="2:11" x14ac:dyDescent="0.3">
      <c r="C6" s="1" t="s">
        <v>485</v>
      </c>
    </row>
    <row r="7" spans="2:11" x14ac:dyDescent="0.3">
      <c r="C7" s="1" t="s">
        <v>486</v>
      </c>
    </row>
    <row r="8" spans="2:11" x14ac:dyDescent="0.3">
      <c r="C8" s="1" t="s">
        <v>487</v>
      </c>
    </row>
    <row r="9" spans="2:11" x14ac:dyDescent="0.3">
      <c r="C9" s="1" t="s">
        <v>488</v>
      </c>
    </row>
    <row r="10" spans="2:11" x14ac:dyDescent="0.3">
      <c r="C10" s="1" t="s">
        <v>489</v>
      </c>
    </row>
    <row r="11" spans="2:11" x14ac:dyDescent="0.3">
      <c r="C11" s="1" t="s">
        <v>490</v>
      </c>
    </row>
    <row r="13" spans="2:11" x14ac:dyDescent="0.3">
      <c r="B13" s="1" t="s">
        <v>491</v>
      </c>
    </row>
    <row r="15" spans="2:11" x14ac:dyDescent="0.3">
      <c r="B15" s="1" t="s">
        <v>492</v>
      </c>
    </row>
  </sheetData>
  <mergeCells count="1">
    <mergeCell ref="B4:J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381AD-648E-4976-8494-FAD3255029B4}">
  <sheetPr codeName="Sheet9"/>
  <dimension ref="B1:O180"/>
  <sheetViews>
    <sheetView showGridLines="0" zoomScale="55" zoomScaleNormal="55" workbookViewId="0">
      <selection activeCell="L4" sqref="L4"/>
    </sheetView>
  </sheetViews>
  <sheetFormatPr defaultColWidth="9.23046875" defaultRowHeight="18.75" x14ac:dyDescent="0.3"/>
  <cols>
    <col min="1" max="1" width="9.23046875" style="1"/>
    <col min="2" max="2" width="35.15234375" style="1" bestFit="1" customWidth="1"/>
    <col min="3" max="3" width="30.53515625" style="1" bestFit="1" customWidth="1"/>
    <col min="4" max="4" width="42.765625" style="1" bestFit="1" customWidth="1"/>
    <col min="5" max="5" width="8.07421875" style="1" bestFit="1" customWidth="1"/>
    <col min="6" max="6" width="18.23046875" style="1" bestFit="1" customWidth="1"/>
    <col min="7" max="8" width="9.23046875" style="1"/>
    <col min="9" max="9" width="32.53515625" style="1" bestFit="1" customWidth="1"/>
    <col min="10" max="16384" width="9.23046875" style="1"/>
  </cols>
  <sheetData>
    <row r="1" spans="2:15" x14ac:dyDescent="0.3">
      <c r="K1" s="3" t="s">
        <v>493</v>
      </c>
      <c r="L1" s="3"/>
      <c r="N1" s="3" t="s">
        <v>494</v>
      </c>
      <c r="O1" s="3"/>
    </row>
    <row r="2" spans="2:15" x14ac:dyDescent="0.3">
      <c r="B2" s="1" t="s">
        <v>137</v>
      </c>
      <c r="C2" s="1" t="s">
        <v>138</v>
      </c>
      <c r="D2" s="1" t="s">
        <v>139</v>
      </c>
      <c r="E2" s="1" t="s">
        <v>2</v>
      </c>
      <c r="F2" s="1" t="s">
        <v>495</v>
      </c>
      <c r="I2" s="5" t="s">
        <v>496</v>
      </c>
      <c r="K2" s="1" t="s">
        <v>497</v>
      </c>
      <c r="L2" s="1" t="s">
        <v>498</v>
      </c>
      <c r="N2" s="1" t="s">
        <v>497</v>
      </c>
      <c r="O2" s="1" t="s">
        <v>498</v>
      </c>
    </row>
    <row r="3" spans="2:15" x14ac:dyDescent="0.3">
      <c r="B3" s="1" t="s">
        <v>377</v>
      </c>
      <c r="C3" s="1" t="s">
        <v>201</v>
      </c>
      <c r="D3" s="1" t="s">
        <v>378</v>
      </c>
      <c r="E3" s="1">
        <v>2</v>
      </c>
      <c r="F3" s="1">
        <v>10</v>
      </c>
      <c r="I3" s="1" t="s">
        <v>147</v>
      </c>
      <c r="K3" s="1">
        <v>0</v>
      </c>
      <c r="L3" s="1" t="s">
        <v>168</v>
      </c>
      <c r="N3" s="1">
        <v>0</v>
      </c>
      <c r="O3" s="1" t="s">
        <v>184</v>
      </c>
    </row>
    <row r="4" spans="2:15" x14ac:dyDescent="0.3">
      <c r="B4" s="1" t="s">
        <v>364</v>
      </c>
      <c r="C4" s="1" t="s">
        <v>198</v>
      </c>
      <c r="D4" s="1" t="s">
        <v>365</v>
      </c>
      <c r="E4" s="1">
        <v>1</v>
      </c>
      <c r="F4" s="1">
        <v>10</v>
      </c>
      <c r="I4" s="1" t="s">
        <v>154</v>
      </c>
      <c r="K4" s="1">
        <v>1</v>
      </c>
      <c r="L4" s="1" t="s">
        <v>145</v>
      </c>
      <c r="N4" s="1">
        <v>10</v>
      </c>
      <c r="O4" s="1" t="s">
        <v>150</v>
      </c>
    </row>
    <row r="5" spans="2:15" x14ac:dyDescent="0.3">
      <c r="B5" s="1" t="s">
        <v>214</v>
      </c>
      <c r="C5" s="1" t="s">
        <v>215</v>
      </c>
      <c r="D5" s="1" t="s">
        <v>216</v>
      </c>
      <c r="E5" s="1">
        <v>3</v>
      </c>
      <c r="F5" s="1">
        <v>10</v>
      </c>
      <c r="I5" s="1" t="s">
        <v>157</v>
      </c>
      <c r="K5" s="1">
        <v>2</v>
      </c>
      <c r="L5" s="1" t="s">
        <v>153</v>
      </c>
      <c r="N5" s="1">
        <v>100</v>
      </c>
      <c r="O5" s="1" t="s">
        <v>146</v>
      </c>
    </row>
    <row r="6" spans="2:15" x14ac:dyDescent="0.3">
      <c r="B6" s="1" t="s">
        <v>404</v>
      </c>
      <c r="C6" s="1" t="s">
        <v>342</v>
      </c>
      <c r="D6" s="1" t="s">
        <v>343</v>
      </c>
      <c r="E6" s="1">
        <v>2</v>
      </c>
      <c r="F6" s="1">
        <v>10</v>
      </c>
      <c r="I6" s="1" t="s">
        <v>166</v>
      </c>
      <c r="K6" s="1">
        <v>3</v>
      </c>
      <c r="L6" s="1" t="s">
        <v>165</v>
      </c>
    </row>
    <row r="7" spans="2:15" x14ac:dyDescent="0.3">
      <c r="B7" s="1" t="s">
        <v>231</v>
      </c>
      <c r="C7" s="1" t="s">
        <v>189</v>
      </c>
      <c r="D7" s="1" t="s">
        <v>232</v>
      </c>
      <c r="E7" s="1">
        <v>1</v>
      </c>
      <c r="F7" s="1">
        <v>10</v>
      </c>
      <c r="I7" s="1" t="s">
        <v>175</v>
      </c>
    </row>
    <row r="8" spans="2:15" x14ac:dyDescent="0.3">
      <c r="B8" s="1" t="s">
        <v>386</v>
      </c>
      <c r="C8" s="1" t="s">
        <v>189</v>
      </c>
      <c r="D8" s="1" t="s">
        <v>387</v>
      </c>
      <c r="E8" s="1">
        <v>2</v>
      </c>
      <c r="F8" s="1">
        <v>10</v>
      </c>
      <c r="I8" s="1" t="s">
        <v>10</v>
      </c>
    </row>
    <row r="9" spans="2:15" x14ac:dyDescent="0.3">
      <c r="B9" s="1" t="s">
        <v>237</v>
      </c>
      <c r="C9" s="1" t="s">
        <v>238</v>
      </c>
      <c r="D9" s="1" t="s">
        <v>239</v>
      </c>
      <c r="E9" s="1">
        <v>1</v>
      </c>
      <c r="F9" s="1">
        <v>10</v>
      </c>
      <c r="I9" s="1" t="s">
        <v>179</v>
      </c>
    </row>
    <row r="10" spans="2:15" x14ac:dyDescent="0.3">
      <c r="B10" s="1" t="s">
        <v>208</v>
      </c>
      <c r="C10" s="1" t="s">
        <v>161</v>
      </c>
      <c r="D10" s="1" t="s">
        <v>209</v>
      </c>
      <c r="E10" s="1">
        <v>1</v>
      </c>
      <c r="F10" s="1">
        <v>10</v>
      </c>
      <c r="I10" s="1" t="s">
        <v>182</v>
      </c>
    </row>
    <row r="11" spans="2:15" x14ac:dyDescent="0.3">
      <c r="B11" s="1" t="s">
        <v>390</v>
      </c>
      <c r="C11" s="1" t="s">
        <v>148</v>
      </c>
      <c r="D11" s="1" t="s">
        <v>391</v>
      </c>
      <c r="E11" s="1">
        <v>1</v>
      </c>
      <c r="F11" s="1">
        <v>10</v>
      </c>
      <c r="I11" s="1" t="s">
        <v>185</v>
      </c>
    </row>
    <row r="12" spans="2:15" x14ac:dyDescent="0.3">
      <c r="B12" s="1" t="s">
        <v>383</v>
      </c>
      <c r="C12" s="1" t="s">
        <v>170</v>
      </c>
      <c r="D12" s="1" t="s">
        <v>384</v>
      </c>
      <c r="E12" s="1">
        <v>1</v>
      </c>
      <c r="F12" s="1">
        <v>0</v>
      </c>
      <c r="I12" s="1" t="s">
        <v>188</v>
      </c>
    </row>
    <row r="13" spans="2:15" x14ac:dyDescent="0.3">
      <c r="B13" s="1" t="s">
        <v>234</v>
      </c>
      <c r="C13" s="1" t="s">
        <v>204</v>
      </c>
      <c r="D13" s="1" t="s">
        <v>235</v>
      </c>
      <c r="E13" s="1">
        <v>2</v>
      </c>
      <c r="F13" s="1">
        <v>0</v>
      </c>
      <c r="I13" s="1" t="s">
        <v>191</v>
      </c>
    </row>
    <row r="14" spans="2:15" x14ac:dyDescent="0.3">
      <c r="B14" s="1" t="s">
        <v>443</v>
      </c>
      <c r="C14" s="1" t="s">
        <v>148</v>
      </c>
      <c r="D14" s="1" t="s">
        <v>391</v>
      </c>
      <c r="E14" s="1">
        <v>0</v>
      </c>
      <c r="F14" s="1">
        <v>10</v>
      </c>
      <c r="I14" s="1" t="s">
        <v>193</v>
      </c>
    </row>
    <row r="15" spans="2:15" x14ac:dyDescent="0.3">
      <c r="B15" s="1" t="s">
        <v>236</v>
      </c>
      <c r="C15" s="1" t="s">
        <v>212</v>
      </c>
      <c r="D15" s="1" t="s">
        <v>213</v>
      </c>
      <c r="E15" s="1">
        <v>0</v>
      </c>
      <c r="F15" s="1">
        <v>10</v>
      </c>
      <c r="I15" s="1" t="s">
        <v>196</v>
      </c>
    </row>
    <row r="16" spans="2:15" x14ac:dyDescent="0.3">
      <c r="B16" s="1" t="s">
        <v>441</v>
      </c>
      <c r="C16" s="1" t="s">
        <v>189</v>
      </c>
      <c r="D16" s="1" t="s">
        <v>442</v>
      </c>
      <c r="E16" s="1">
        <v>0</v>
      </c>
      <c r="F16" s="1">
        <v>10</v>
      </c>
      <c r="I16" s="1" t="s">
        <v>197</v>
      </c>
    </row>
    <row r="17" spans="2:9" x14ac:dyDescent="0.3">
      <c r="B17" s="1" t="s">
        <v>315</v>
      </c>
      <c r="C17" s="1" t="s">
        <v>170</v>
      </c>
      <c r="D17" s="1" t="s">
        <v>171</v>
      </c>
      <c r="E17" s="1">
        <v>0</v>
      </c>
      <c r="F17" s="1">
        <v>100</v>
      </c>
      <c r="I17" s="1" t="s">
        <v>200</v>
      </c>
    </row>
    <row r="18" spans="2:9" x14ac:dyDescent="0.3">
      <c r="B18" s="1" t="s">
        <v>433</v>
      </c>
      <c r="C18" s="1" t="s">
        <v>158</v>
      </c>
      <c r="D18" s="1" t="s">
        <v>256</v>
      </c>
      <c r="E18" s="1">
        <v>1</v>
      </c>
      <c r="F18" s="1">
        <v>10</v>
      </c>
      <c r="I18" s="1" t="s">
        <v>203</v>
      </c>
    </row>
    <row r="19" spans="2:9" x14ac:dyDescent="0.3">
      <c r="B19" s="1" t="s">
        <v>10</v>
      </c>
      <c r="C19" s="1" t="s">
        <v>158</v>
      </c>
      <c r="D19" s="1" t="s">
        <v>178</v>
      </c>
      <c r="E19" s="1">
        <v>1</v>
      </c>
      <c r="F19" s="1">
        <v>10</v>
      </c>
      <c r="I19" s="1" t="s">
        <v>11</v>
      </c>
    </row>
    <row r="20" spans="2:9" x14ac:dyDescent="0.3">
      <c r="B20" s="1" t="s">
        <v>345</v>
      </c>
      <c r="C20" s="1" t="s">
        <v>161</v>
      </c>
      <c r="D20" s="1" t="s">
        <v>164</v>
      </c>
      <c r="E20" s="1">
        <v>2</v>
      </c>
      <c r="F20" s="1">
        <v>100</v>
      </c>
      <c r="I20" s="1" t="s">
        <v>206</v>
      </c>
    </row>
    <row r="21" spans="2:9" x14ac:dyDescent="0.3">
      <c r="B21" s="1" t="s">
        <v>355</v>
      </c>
      <c r="C21" s="1" t="s">
        <v>356</v>
      </c>
      <c r="D21" s="1" t="s">
        <v>357</v>
      </c>
      <c r="E21" s="1">
        <v>0</v>
      </c>
      <c r="F21" s="1">
        <v>10</v>
      </c>
      <c r="I21" s="1" t="s">
        <v>208</v>
      </c>
    </row>
    <row r="22" spans="2:9" x14ac:dyDescent="0.3">
      <c r="B22" s="1" t="s">
        <v>354</v>
      </c>
      <c r="C22" s="1" t="s">
        <v>148</v>
      </c>
      <c r="D22" s="1" t="s">
        <v>230</v>
      </c>
      <c r="E22" s="1">
        <v>2</v>
      </c>
      <c r="F22" s="1">
        <v>10</v>
      </c>
      <c r="I22" s="1" t="s">
        <v>210</v>
      </c>
    </row>
    <row r="23" spans="2:9" x14ac:dyDescent="0.3">
      <c r="B23" s="1" t="s">
        <v>287</v>
      </c>
      <c r="C23" s="1" t="s">
        <v>189</v>
      </c>
      <c r="D23" s="1" t="s">
        <v>288</v>
      </c>
      <c r="E23" s="1">
        <v>1</v>
      </c>
      <c r="F23" s="1">
        <v>100</v>
      </c>
      <c r="I23" s="1" t="s">
        <v>214</v>
      </c>
    </row>
    <row r="24" spans="2:9" x14ac:dyDescent="0.3">
      <c r="B24" s="1" t="s">
        <v>464</v>
      </c>
      <c r="C24" s="1" t="s">
        <v>215</v>
      </c>
      <c r="D24" s="1" t="s">
        <v>465</v>
      </c>
      <c r="E24" s="1">
        <v>2</v>
      </c>
      <c r="F24" s="1">
        <v>10</v>
      </c>
      <c r="I24" s="1" t="s">
        <v>218</v>
      </c>
    </row>
    <row r="25" spans="2:9" x14ac:dyDescent="0.3">
      <c r="B25" s="1" t="s">
        <v>475</v>
      </c>
      <c r="C25" s="1" t="s">
        <v>161</v>
      </c>
      <c r="D25" s="1" t="s">
        <v>476</v>
      </c>
      <c r="E25" s="1">
        <v>0</v>
      </c>
      <c r="F25" s="1">
        <v>10</v>
      </c>
      <c r="I25" s="1" t="s">
        <v>221</v>
      </c>
    </row>
    <row r="26" spans="2:9" x14ac:dyDescent="0.3">
      <c r="B26" s="1" t="s">
        <v>279</v>
      </c>
      <c r="C26" s="1" t="s">
        <v>280</v>
      </c>
      <c r="D26" s="1" t="s">
        <v>281</v>
      </c>
      <c r="E26" s="1">
        <v>2</v>
      </c>
      <c r="F26" s="1">
        <v>100</v>
      </c>
      <c r="I26" s="1" t="s">
        <v>224</v>
      </c>
    </row>
    <row r="27" spans="2:9" x14ac:dyDescent="0.3">
      <c r="B27" s="1" t="s">
        <v>423</v>
      </c>
      <c r="C27" s="1" t="s">
        <v>158</v>
      </c>
      <c r="D27" s="1" t="s">
        <v>256</v>
      </c>
      <c r="E27" s="1">
        <v>1</v>
      </c>
      <c r="F27" s="1">
        <v>0</v>
      </c>
      <c r="I27" s="1" t="s">
        <v>229</v>
      </c>
    </row>
    <row r="28" spans="2:9" x14ac:dyDescent="0.3">
      <c r="B28" s="1" t="s">
        <v>291</v>
      </c>
      <c r="C28" s="1" t="s">
        <v>204</v>
      </c>
      <c r="D28" s="1" t="s">
        <v>292</v>
      </c>
      <c r="E28" s="1">
        <v>1</v>
      </c>
      <c r="F28" s="1">
        <v>10</v>
      </c>
      <c r="I28" s="1" t="s">
        <v>231</v>
      </c>
    </row>
    <row r="29" spans="2:9" x14ac:dyDescent="0.3">
      <c r="B29" s="1" t="s">
        <v>407</v>
      </c>
      <c r="C29" s="1" t="s">
        <v>269</v>
      </c>
      <c r="D29" s="1" t="s">
        <v>408</v>
      </c>
      <c r="E29" s="1">
        <v>2</v>
      </c>
      <c r="F29" s="1">
        <v>100</v>
      </c>
      <c r="I29" s="1" t="s">
        <v>234</v>
      </c>
    </row>
    <row r="30" spans="2:9" x14ac:dyDescent="0.3">
      <c r="B30" s="1" t="s">
        <v>435</v>
      </c>
      <c r="C30" s="1" t="s">
        <v>155</v>
      </c>
      <c r="D30" s="1" t="s">
        <v>436</v>
      </c>
      <c r="E30" s="1">
        <v>3</v>
      </c>
      <c r="F30" s="1">
        <v>10</v>
      </c>
      <c r="I30" s="1" t="s">
        <v>237</v>
      </c>
    </row>
    <row r="31" spans="2:9" x14ac:dyDescent="0.3">
      <c r="B31" s="1" t="s">
        <v>179</v>
      </c>
      <c r="C31" s="1" t="s">
        <v>180</v>
      </c>
      <c r="D31" s="1" t="s">
        <v>181</v>
      </c>
      <c r="E31" s="1">
        <v>1</v>
      </c>
      <c r="F31" s="1">
        <v>10</v>
      </c>
      <c r="I31" s="1" t="s">
        <v>240</v>
      </c>
    </row>
    <row r="32" spans="2:9" x14ac:dyDescent="0.3">
      <c r="B32" s="1" t="s">
        <v>456</v>
      </c>
      <c r="C32" s="1" t="s">
        <v>158</v>
      </c>
      <c r="D32" s="1" t="s">
        <v>256</v>
      </c>
      <c r="E32" s="1">
        <v>2</v>
      </c>
      <c r="F32" s="1">
        <v>10</v>
      </c>
      <c r="I32" s="1" t="s">
        <v>247</v>
      </c>
    </row>
    <row r="33" spans="2:9" x14ac:dyDescent="0.3">
      <c r="B33" s="1" t="s">
        <v>316</v>
      </c>
      <c r="C33" s="1" t="s">
        <v>148</v>
      </c>
      <c r="D33" s="1" t="s">
        <v>261</v>
      </c>
      <c r="E33" s="1">
        <v>0</v>
      </c>
      <c r="F33" s="1">
        <v>10</v>
      </c>
      <c r="I33" s="1" t="s">
        <v>248</v>
      </c>
    </row>
    <row r="34" spans="2:9" x14ac:dyDescent="0.3">
      <c r="B34" s="1" t="s">
        <v>175</v>
      </c>
      <c r="C34" s="1" t="s">
        <v>176</v>
      </c>
      <c r="D34" s="1" t="s">
        <v>177</v>
      </c>
      <c r="E34" s="1">
        <v>1</v>
      </c>
      <c r="F34" s="1">
        <v>10</v>
      </c>
      <c r="I34" s="1" t="s">
        <v>250</v>
      </c>
    </row>
    <row r="35" spans="2:9" x14ac:dyDescent="0.3">
      <c r="B35" s="1" t="s">
        <v>412</v>
      </c>
      <c r="C35" s="1" t="s">
        <v>342</v>
      </c>
      <c r="D35" s="1" t="s">
        <v>413</v>
      </c>
      <c r="E35" s="1">
        <v>2</v>
      </c>
      <c r="F35" s="1">
        <v>100</v>
      </c>
      <c r="I35" s="1" t="s">
        <v>241</v>
      </c>
    </row>
    <row r="36" spans="2:9" x14ac:dyDescent="0.3">
      <c r="B36" s="1" t="s">
        <v>224</v>
      </c>
      <c r="C36" s="1" t="s">
        <v>170</v>
      </c>
      <c r="D36" s="1" t="s">
        <v>225</v>
      </c>
      <c r="E36" s="1">
        <v>0</v>
      </c>
      <c r="F36" s="1">
        <v>100</v>
      </c>
      <c r="I36" s="1" t="s">
        <v>253</v>
      </c>
    </row>
    <row r="37" spans="2:9" x14ac:dyDescent="0.3">
      <c r="B37" s="1" t="s">
        <v>320</v>
      </c>
      <c r="C37" s="1" t="s">
        <v>148</v>
      </c>
      <c r="D37" s="1" t="s">
        <v>321</v>
      </c>
      <c r="E37" s="1">
        <v>0</v>
      </c>
      <c r="F37" s="1">
        <v>100</v>
      </c>
      <c r="I37" s="1" t="s">
        <v>255</v>
      </c>
    </row>
    <row r="38" spans="2:9" x14ac:dyDescent="0.3">
      <c r="B38" s="1" t="s">
        <v>285</v>
      </c>
      <c r="C38" s="1" t="s">
        <v>212</v>
      </c>
      <c r="D38" s="1" t="s">
        <v>286</v>
      </c>
      <c r="E38" s="1">
        <v>0</v>
      </c>
      <c r="F38" s="1">
        <v>10</v>
      </c>
      <c r="I38" s="1" t="s">
        <v>257</v>
      </c>
    </row>
    <row r="39" spans="2:9" x14ac:dyDescent="0.3">
      <c r="B39" s="1" t="s">
        <v>200</v>
      </c>
      <c r="C39" s="1" t="s">
        <v>201</v>
      </c>
      <c r="D39" s="1" t="s">
        <v>202</v>
      </c>
      <c r="E39" s="1">
        <v>1</v>
      </c>
      <c r="F39" s="1">
        <v>100</v>
      </c>
      <c r="I39" s="1" t="s">
        <v>260</v>
      </c>
    </row>
    <row r="40" spans="2:9" x14ac:dyDescent="0.3">
      <c r="B40" s="1" t="s">
        <v>477</v>
      </c>
      <c r="C40" s="1" t="s">
        <v>478</v>
      </c>
      <c r="D40" s="1" t="s">
        <v>479</v>
      </c>
      <c r="E40" s="1">
        <v>3</v>
      </c>
      <c r="F40" s="1">
        <v>10</v>
      </c>
      <c r="I40" s="1" t="s">
        <v>263</v>
      </c>
    </row>
    <row r="41" spans="2:9" x14ac:dyDescent="0.3">
      <c r="B41" s="1" t="s">
        <v>469</v>
      </c>
      <c r="C41" s="1" t="s">
        <v>148</v>
      </c>
      <c r="D41" s="1" t="s">
        <v>470</v>
      </c>
      <c r="E41" s="1">
        <v>1</v>
      </c>
      <c r="F41" s="1">
        <v>10</v>
      </c>
      <c r="I41" s="1" t="s">
        <v>266</v>
      </c>
    </row>
    <row r="42" spans="2:9" x14ac:dyDescent="0.3">
      <c r="B42" s="1" t="s">
        <v>415</v>
      </c>
      <c r="C42" s="1" t="s">
        <v>416</v>
      </c>
      <c r="D42" s="1" t="s">
        <v>417</v>
      </c>
      <c r="E42" s="1">
        <v>2</v>
      </c>
      <c r="F42" s="1">
        <v>100</v>
      </c>
      <c r="I42" s="1" t="s">
        <v>274</v>
      </c>
    </row>
    <row r="43" spans="2:9" x14ac:dyDescent="0.3">
      <c r="B43" s="1" t="s">
        <v>241</v>
      </c>
      <c r="C43" s="1" t="s">
        <v>242</v>
      </c>
      <c r="D43" s="1" t="s">
        <v>243</v>
      </c>
      <c r="E43" s="1">
        <v>1</v>
      </c>
      <c r="F43" s="1">
        <v>10</v>
      </c>
      <c r="I43" s="1" t="s">
        <v>277</v>
      </c>
    </row>
    <row r="44" spans="2:9" x14ac:dyDescent="0.3">
      <c r="B44" s="1" t="s">
        <v>348</v>
      </c>
      <c r="C44" s="1" t="s">
        <v>283</v>
      </c>
      <c r="D44" s="1" t="s">
        <v>349</v>
      </c>
      <c r="E44" s="1">
        <v>1</v>
      </c>
      <c r="F44" s="1">
        <v>10</v>
      </c>
      <c r="I44" s="1" t="s">
        <v>279</v>
      </c>
    </row>
    <row r="45" spans="2:9" x14ac:dyDescent="0.3">
      <c r="B45" s="1" t="s">
        <v>370</v>
      </c>
      <c r="C45" s="1" t="s">
        <v>371</v>
      </c>
      <c r="D45" s="1" t="s">
        <v>372</v>
      </c>
      <c r="E45" s="1">
        <v>1</v>
      </c>
      <c r="F45" s="1">
        <v>100</v>
      </c>
      <c r="I45" s="1" t="s">
        <v>282</v>
      </c>
    </row>
    <row r="46" spans="2:9" x14ac:dyDescent="0.3">
      <c r="B46" s="1" t="s">
        <v>311</v>
      </c>
      <c r="C46" s="1" t="s">
        <v>215</v>
      </c>
      <c r="D46" s="1" t="s">
        <v>267</v>
      </c>
      <c r="E46" s="1">
        <v>2</v>
      </c>
      <c r="F46" s="1">
        <v>10</v>
      </c>
      <c r="I46" s="1" t="s">
        <v>285</v>
      </c>
    </row>
    <row r="47" spans="2:9" x14ac:dyDescent="0.3">
      <c r="B47" s="1" t="s">
        <v>385</v>
      </c>
      <c r="C47" s="1" t="s">
        <v>170</v>
      </c>
      <c r="D47" s="1" t="s">
        <v>171</v>
      </c>
      <c r="E47" s="1">
        <v>0</v>
      </c>
      <c r="F47" s="1">
        <v>100</v>
      </c>
      <c r="I47" s="1" t="s">
        <v>287</v>
      </c>
    </row>
    <row r="48" spans="2:9" x14ac:dyDescent="0.3">
      <c r="B48" s="1" t="s">
        <v>289</v>
      </c>
      <c r="C48" s="1" t="s">
        <v>269</v>
      </c>
      <c r="D48" s="1" t="s">
        <v>270</v>
      </c>
      <c r="E48" s="1">
        <v>0</v>
      </c>
      <c r="F48" s="1">
        <v>0</v>
      </c>
      <c r="I48" s="1" t="s">
        <v>289</v>
      </c>
    </row>
    <row r="49" spans="2:9" x14ac:dyDescent="0.3">
      <c r="B49" s="1" t="s">
        <v>458</v>
      </c>
      <c r="C49" s="1" t="s">
        <v>161</v>
      </c>
      <c r="D49" s="1" t="s">
        <v>459</v>
      </c>
      <c r="E49" s="1">
        <v>2</v>
      </c>
      <c r="F49" s="1">
        <v>10</v>
      </c>
      <c r="I49" s="1" t="s">
        <v>291</v>
      </c>
    </row>
    <row r="50" spans="2:9" x14ac:dyDescent="0.3">
      <c r="B50" s="1" t="s">
        <v>188</v>
      </c>
      <c r="C50" s="1" t="s">
        <v>189</v>
      </c>
      <c r="D50" s="1" t="s">
        <v>190</v>
      </c>
      <c r="E50" s="1">
        <v>1</v>
      </c>
      <c r="F50" s="1">
        <v>10</v>
      </c>
      <c r="I50" s="1" t="s">
        <v>293</v>
      </c>
    </row>
    <row r="51" spans="2:9" x14ac:dyDescent="0.3">
      <c r="B51" s="1" t="s">
        <v>253</v>
      </c>
      <c r="C51" s="1" t="s">
        <v>212</v>
      </c>
      <c r="D51" s="1" t="s">
        <v>254</v>
      </c>
      <c r="E51" s="1">
        <v>0</v>
      </c>
      <c r="F51" s="1">
        <v>0</v>
      </c>
      <c r="I51" s="1" t="s">
        <v>297</v>
      </c>
    </row>
    <row r="52" spans="2:9" x14ac:dyDescent="0.3">
      <c r="B52" s="1" t="s">
        <v>359</v>
      </c>
      <c r="C52" s="1" t="s">
        <v>360</v>
      </c>
      <c r="D52" s="1" t="s">
        <v>256</v>
      </c>
      <c r="E52" s="1">
        <v>1</v>
      </c>
      <c r="F52" s="1">
        <v>10</v>
      </c>
      <c r="I52" s="1" t="s">
        <v>299</v>
      </c>
    </row>
    <row r="53" spans="2:9" x14ac:dyDescent="0.3">
      <c r="B53" s="1" t="s">
        <v>375</v>
      </c>
      <c r="C53" s="1" t="s">
        <v>222</v>
      </c>
      <c r="D53" s="1" t="s">
        <v>310</v>
      </c>
      <c r="E53" s="1">
        <v>1</v>
      </c>
      <c r="F53" s="1">
        <v>10</v>
      </c>
      <c r="I53" s="1" t="s">
        <v>499</v>
      </c>
    </row>
    <row r="54" spans="2:9" x14ac:dyDescent="0.3">
      <c r="B54" s="1" t="s">
        <v>422</v>
      </c>
      <c r="C54" s="1" t="s">
        <v>158</v>
      </c>
      <c r="D54" s="1" t="s">
        <v>159</v>
      </c>
      <c r="E54" s="1">
        <v>0</v>
      </c>
      <c r="F54" s="1">
        <v>10</v>
      </c>
      <c r="I54" s="1" t="s">
        <v>295</v>
      </c>
    </row>
    <row r="55" spans="2:9" x14ac:dyDescent="0.3">
      <c r="B55" s="1" t="s">
        <v>431</v>
      </c>
      <c r="C55" s="1" t="s">
        <v>158</v>
      </c>
      <c r="D55" s="1" t="s">
        <v>425</v>
      </c>
      <c r="E55" s="1">
        <v>1</v>
      </c>
      <c r="F55" s="1">
        <v>10</v>
      </c>
      <c r="I55" s="1" t="s">
        <v>301</v>
      </c>
    </row>
    <row r="56" spans="2:9" x14ac:dyDescent="0.3">
      <c r="B56" s="1" t="s">
        <v>293</v>
      </c>
      <c r="C56" s="1" t="s">
        <v>212</v>
      </c>
      <c r="D56" s="1" t="s">
        <v>294</v>
      </c>
      <c r="E56" s="1">
        <v>2</v>
      </c>
      <c r="F56" s="1">
        <v>10</v>
      </c>
      <c r="I56" s="1" t="s">
        <v>303</v>
      </c>
    </row>
    <row r="57" spans="2:9" x14ac:dyDescent="0.3">
      <c r="B57" s="1" t="s">
        <v>424</v>
      </c>
      <c r="C57" s="1" t="s">
        <v>158</v>
      </c>
      <c r="D57" s="1" t="s">
        <v>425</v>
      </c>
      <c r="E57" s="1">
        <v>1</v>
      </c>
      <c r="F57" s="1">
        <v>10</v>
      </c>
      <c r="I57" s="1" t="s">
        <v>305</v>
      </c>
    </row>
    <row r="58" spans="2:9" x14ac:dyDescent="0.3">
      <c r="B58" s="1" t="s">
        <v>229</v>
      </c>
      <c r="C58" s="1" t="s">
        <v>148</v>
      </c>
      <c r="D58" s="1" t="s">
        <v>230</v>
      </c>
      <c r="E58" s="1">
        <v>1</v>
      </c>
      <c r="F58" s="1">
        <v>10</v>
      </c>
      <c r="I58" s="1" t="s">
        <v>308</v>
      </c>
    </row>
    <row r="59" spans="2:9" x14ac:dyDescent="0.3">
      <c r="B59" s="1" t="s">
        <v>309</v>
      </c>
      <c r="C59" s="1" t="s">
        <v>222</v>
      </c>
      <c r="D59" s="1" t="s">
        <v>310</v>
      </c>
      <c r="E59" s="1">
        <v>1</v>
      </c>
      <c r="F59" s="1">
        <v>10</v>
      </c>
      <c r="I59" s="1" t="s">
        <v>311</v>
      </c>
    </row>
    <row r="60" spans="2:9" x14ac:dyDescent="0.3">
      <c r="B60" s="1" t="s">
        <v>185</v>
      </c>
      <c r="C60" s="1" t="s">
        <v>186</v>
      </c>
      <c r="D60" s="1" t="s">
        <v>187</v>
      </c>
      <c r="E60" s="1">
        <v>3</v>
      </c>
      <c r="F60" s="1">
        <v>10</v>
      </c>
      <c r="I60" s="1" t="s">
        <v>312</v>
      </c>
    </row>
    <row r="61" spans="2:9" x14ac:dyDescent="0.3">
      <c r="B61" s="1" t="s">
        <v>449</v>
      </c>
      <c r="C61" s="1" t="s">
        <v>450</v>
      </c>
      <c r="D61" s="1" t="s">
        <v>451</v>
      </c>
      <c r="E61" s="1">
        <v>0</v>
      </c>
      <c r="F61" s="1">
        <v>10</v>
      </c>
      <c r="I61" s="1" t="s">
        <v>316</v>
      </c>
    </row>
    <row r="62" spans="2:9" x14ac:dyDescent="0.3">
      <c r="B62" s="1" t="s">
        <v>266</v>
      </c>
      <c r="C62" s="1" t="s">
        <v>215</v>
      </c>
      <c r="D62" s="1" t="s">
        <v>267</v>
      </c>
      <c r="E62" s="1">
        <v>2</v>
      </c>
      <c r="F62" s="1">
        <v>10</v>
      </c>
      <c r="I62" s="1" t="s">
        <v>320</v>
      </c>
    </row>
    <row r="63" spans="2:9" x14ac:dyDescent="0.3">
      <c r="B63" s="1" t="s">
        <v>197</v>
      </c>
      <c r="C63" s="1" t="s">
        <v>198</v>
      </c>
      <c r="D63" s="1" t="s">
        <v>199</v>
      </c>
      <c r="E63" s="1">
        <v>1</v>
      </c>
      <c r="F63" s="1">
        <v>100</v>
      </c>
      <c r="I63" s="1" t="s">
        <v>322</v>
      </c>
    </row>
    <row r="64" spans="2:9" x14ac:dyDescent="0.3">
      <c r="B64" s="1" t="s">
        <v>428</v>
      </c>
      <c r="C64" s="1" t="s">
        <v>158</v>
      </c>
      <c r="D64" s="1" t="s">
        <v>159</v>
      </c>
      <c r="E64" s="1">
        <v>0</v>
      </c>
      <c r="F64" s="1">
        <v>10</v>
      </c>
      <c r="I64" s="1" t="s">
        <v>324</v>
      </c>
    </row>
    <row r="65" spans="2:9" x14ac:dyDescent="0.3">
      <c r="B65" s="1" t="s">
        <v>250</v>
      </c>
      <c r="C65" s="1" t="s">
        <v>251</v>
      </c>
      <c r="D65" s="1" t="s">
        <v>252</v>
      </c>
      <c r="E65" s="1">
        <v>1</v>
      </c>
      <c r="F65" s="1">
        <v>10</v>
      </c>
      <c r="I65" s="1" t="s">
        <v>326</v>
      </c>
    </row>
    <row r="66" spans="2:9" x14ac:dyDescent="0.3">
      <c r="B66" s="1" t="s">
        <v>221</v>
      </c>
      <c r="C66" s="1" t="s">
        <v>222</v>
      </c>
      <c r="D66" s="1" t="s">
        <v>223</v>
      </c>
      <c r="E66" s="1">
        <v>0</v>
      </c>
      <c r="F66" s="1">
        <v>10</v>
      </c>
      <c r="I66" s="1" t="s">
        <v>327</v>
      </c>
    </row>
    <row r="67" spans="2:9" x14ac:dyDescent="0.3">
      <c r="B67" s="1" t="s">
        <v>247</v>
      </c>
      <c r="C67" s="1" t="s">
        <v>158</v>
      </c>
      <c r="D67" s="1" t="s">
        <v>159</v>
      </c>
      <c r="E67" s="1">
        <v>1</v>
      </c>
      <c r="F67" s="1">
        <v>10</v>
      </c>
      <c r="I67" s="1" t="s">
        <v>331</v>
      </c>
    </row>
    <row r="68" spans="2:9" x14ac:dyDescent="0.3">
      <c r="B68" s="1" t="s">
        <v>263</v>
      </c>
      <c r="C68" s="1" t="s">
        <v>264</v>
      </c>
      <c r="D68" s="1" t="s">
        <v>265</v>
      </c>
      <c r="E68" s="1">
        <v>1</v>
      </c>
      <c r="F68" s="1">
        <v>10</v>
      </c>
      <c r="I68" s="1" t="s">
        <v>337</v>
      </c>
    </row>
    <row r="69" spans="2:9" x14ac:dyDescent="0.3">
      <c r="B69" s="1" t="s">
        <v>368</v>
      </c>
      <c r="C69" s="1" t="s">
        <v>362</v>
      </c>
      <c r="D69" s="1" t="s">
        <v>369</v>
      </c>
      <c r="E69" s="1">
        <v>2</v>
      </c>
      <c r="F69" s="1">
        <v>100</v>
      </c>
      <c r="I69" s="1" t="s">
        <v>339</v>
      </c>
    </row>
    <row r="70" spans="2:9" x14ac:dyDescent="0.3">
      <c r="B70" s="1" t="s">
        <v>471</v>
      </c>
      <c r="C70" s="1" t="s">
        <v>472</v>
      </c>
      <c r="D70" s="1" t="s">
        <v>473</v>
      </c>
      <c r="E70" s="1">
        <v>1</v>
      </c>
      <c r="F70" s="1">
        <v>0</v>
      </c>
      <c r="I70" s="1" t="s">
        <v>340</v>
      </c>
    </row>
    <row r="71" spans="2:9" x14ac:dyDescent="0.3">
      <c r="B71" s="1" t="s">
        <v>379</v>
      </c>
      <c r="C71" s="1" t="s">
        <v>148</v>
      </c>
      <c r="D71" s="1" t="s">
        <v>380</v>
      </c>
      <c r="E71" s="1">
        <v>2</v>
      </c>
      <c r="F71" s="1">
        <v>100</v>
      </c>
      <c r="I71" s="1" t="s">
        <v>341</v>
      </c>
    </row>
    <row r="72" spans="2:9" x14ac:dyDescent="0.3">
      <c r="B72" s="1" t="s">
        <v>295</v>
      </c>
      <c r="C72" s="1" t="s">
        <v>204</v>
      </c>
      <c r="D72" s="1" t="s">
        <v>296</v>
      </c>
      <c r="E72" s="1">
        <v>1</v>
      </c>
      <c r="F72" s="1">
        <v>100</v>
      </c>
      <c r="I72" s="1" t="s">
        <v>346</v>
      </c>
    </row>
    <row r="73" spans="2:9" x14ac:dyDescent="0.3">
      <c r="B73" s="1" t="s">
        <v>324</v>
      </c>
      <c r="C73" s="1" t="s">
        <v>158</v>
      </c>
      <c r="D73" s="1" t="s">
        <v>325</v>
      </c>
      <c r="E73" s="1">
        <v>1</v>
      </c>
      <c r="F73" s="1">
        <v>10</v>
      </c>
      <c r="I73" s="1" t="s">
        <v>348</v>
      </c>
    </row>
    <row r="74" spans="2:9" x14ac:dyDescent="0.3">
      <c r="B74" s="1" t="s">
        <v>278</v>
      </c>
      <c r="C74" s="1" t="s">
        <v>212</v>
      </c>
      <c r="D74" s="1" t="s">
        <v>213</v>
      </c>
      <c r="E74" s="1">
        <v>0</v>
      </c>
      <c r="F74" s="1">
        <v>10</v>
      </c>
      <c r="I74" s="1" t="s">
        <v>354</v>
      </c>
    </row>
    <row r="75" spans="2:9" x14ac:dyDescent="0.3">
      <c r="B75" s="1" t="s">
        <v>297</v>
      </c>
      <c r="C75" s="1" t="s">
        <v>158</v>
      </c>
      <c r="D75" s="1" t="s">
        <v>298</v>
      </c>
      <c r="E75" s="1">
        <v>0</v>
      </c>
      <c r="F75" s="1">
        <v>10</v>
      </c>
      <c r="I75" s="1" t="s">
        <v>355</v>
      </c>
    </row>
    <row r="76" spans="2:9" x14ac:dyDescent="0.3">
      <c r="B76" s="1" t="s">
        <v>398</v>
      </c>
      <c r="C76" s="1" t="s">
        <v>212</v>
      </c>
      <c r="D76" s="1" t="s">
        <v>213</v>
      </c>
      <c r="E76" s="1">
        <v>1</v>
      </c>
      <c r="F76" s="1">
        <v>10</v>
      </c>
      <c r="I76" s="1" t="s">
        <v>358</v>
      </c>
    </row>
    <row r="77" spans="2:9" x14ac:dyDescent="0.3">
      <c r="B77" s="1" t="s">
        <v>381</v>
      </c>
      <c r="C77" s="1" t="s">
        <v>158</v>
      </c>
      <c r="D77" s="1" t="s">
        <v>382</v>
      </c>
      <c r="E77" s="1">
        <v>2</v>
      </c>
      <c r="F77" s="1">
        <v>10</v>
      </c>
      <c r="I77" s="1" t="s">
        <v>359</v>
      </c>
    </row>
    <row r="78" spans="2:9" x14ac:dyDescent="0.3">
      <c r="B78" s="1" t="s">
        <v>358</v>
      </c>
      <c r="C78" s="1" t="s">
        <v>212</v>
      </c>
      <c r="D78" s="1" t="s">
        <v>294</v>
      </c>
      <c r="E78" s="1">
        <v>0</v>
      </c>
      <c r="F78" s="1">
        <v>0</v>
      </c>
      <c r="I78" s="1" t="s">
        <v>361</v>
      </c>
    </row>
    <row r="79" spans="2:9" x14ac:dyDescent="0.3">
      <c r="B79" s="1" t="s">
        <v>300</v>
      </c>
      <c r="C79" s="1" t="s">
        <v>158</v>
      </c>
      <c r="D79" s="1" t="s">
        <v>178</v>
      </c>
      <c r="E79" s="1">
        <v>2</v>
      </c>
      <c r="F79" s="1">
        <v>10</v>
      </c>
      <c r="I79" s="1" t="s">
        <v>364</v>
      </c>
    </row>
    <row r="80" spans="2:9" x14ac:dyDescent="0.3">
      <c r="B80" s="1" t="s">
        <v>248</v>
      </c>
      <c r="C80" s="1" t="s">
        <v>158</v>
      </c>
      <c r="D80" s="1" t="s">
        <v>249</v>
      </c>
      <c r="E80" s="1">
        <v>1</v>
      </c>
      <c r="F80" s="1">
        <v>10</v>
      </c>
      <c r="I80" s="1" t="s">
        <v>366</v>
      </c>
    </row>
    <row r="81" spans="2:9" x14ac:dyDescent="0.3">
      <c r="B81" s="1" t="s">
        <v>392</v>
      </c>
      <c r="C81" s="1" t="s">
        <v>332</v>
      </c>
      <c r="D81" s="1" t="s">
        <v>393</v>
      </c>
      <c r="E81" s="1">
        <v>1</v>
      </c>
      <c r="F81" s="1">
        <v>10</v>
      </c>
      <c r="I81" s="1" t="s">
        <v>368</v>
      </c>
    </row>
    <row r="82" spans="2:9" x14ac:dyDescent="0.3">
      <c r="B82" s="1" t="s">
        <v>351</v>
      </c>
      <c r="C82" s="1" t="s">
        <v>352</v>
      </c>
      <c r="D82" s="1" t="s">
        <v>353</v>
      </c>
      <c r="E82" s="1">
        <v>2</v>
      </c>
      <c r="F82" s="1">
        <v>10</v>
      </c>
      <c r="I82" s="1" t="s">
        <v>370</v>
      </c>
    </row>
    <row r="83" spans="2:9" x14ac:dyDescent="0.3">
      <c r="B83" s="1" t="s">
        <v>317</v>
      </c>
      <c r="C83" s="1" t="s">
        <v>318</v>
      </c>
      <c r="D83" s="1" t="s">
        <v>319</v>
      </c>
      <c r="E83" s="1">
        <v>2</v>
      </c>
      <c r="F83" s="1">
        <v>10</v>
      </c>
      <c r="I83" s="1" t="s">
        <v>374</v>
      </c>
    </row>
    <row r="84" spans="2:9" x14ac:dyDescent="0.3">
      <c r="B84" s="1" t="s">
        <v>376</v>
      </c>
      <c r="C84" s="1" t="s">
        <v>158</v>
      </c>
      <c r="D84" s="1" t="s">
        <v>178</v>
      </c>
      <c r="E84" s="1">
        <v>1</v>
      </c>
      <c r="F84" s="1">
        <v>10</v>
      </c>
      <c r="I84" s="1" t="s">
        <v>377</v>
      </c>
    </row>
    <row r="85" spans="2:9" x14ac:dyDescent="0.3">
      <c r="B85" s="1" t="s">
        <v>258</v>
      </c>
      <c r="C85" s="1" t="s">
        <v>143</v>
      </c>
      <c r="D85" s="1" t="s">
        <v>259</v>
      </c>
      <c r="E85" s="1">
        <v>0</v>
      </c>
      <c r="F85" s="1">
        <v>10</v>
      </c>
      <c r="I85" s="1" t="s">
        <v>375</v>
      </c>
    </row>
    <row r="86" spans="2:9" x14ac:dyDescent="0.3">
      <c r="B86" s="1" t="s">
        <v>409</v>
      </c>
      <c r="C86" s="1" t="s">
        <v>410</v>
      </c>
      <c r="D86" s="1" t="s">
        <v>411</v>
      </c>
      <c r="E86" s="1">
        <v>1</v>
      </c>
      <c r="F86" s="1">
        <v>100</v>
      </c>
      <c r="I86" s="1" t="s">
        <v>376</v>
      </c>
    </row>
    <row r="87" spans="2:9" x14ac:dyDescent="0.3">
      <c r="B87" s="1" t="s">
        <v>303</v>
      </c>
      <c r="C87" s="1" t="s">
        <v>204</v>
      </c>
      <c r="D87" s="1" t="s">
        <v>304</v>
      </c>
      <c r="E87" s="1">
        <v>1</v>
      </c>
      <c r="F87" s="1">
        <v>100</v>
      </c>
      <c r="I87" s="1" t="s">
        <v>379</v>
      </c>
    </row>
    <row r="88" spans="2:9" x14ac:dyDescent="0.3">
      <c r="B88" s="1" t="s">
        <v>426</v>
      </c>
      <c r="C88" s="1" t="s">
        <v>158</v>
      </c>
      <c r="D88" s="1" t="s">
        <v>427</v>
      </c>
      <c r="E88" s="1">
        <v>1</v>
      </c>
      <c r="F88" s="1">
        <v>100</v>
      </c>
      <c r="I88" s="1" t="s">
        <v>381</v>
      </c>
    </row>
    <row r="89" spans="2:9" x14ac:dyDescent="0.3">
      <c r="B89" s="1" t="s">
        <v>260</v>
      </c>
      <c r="C89" s="1" t="s">
        <v>148</v>
      </c>
      <c r="D89" s="1" t="s">
        <v>261</v>
      </c>
      <c r="E89" s="1">
        <v>0</v>
      </c>
      <c r="F89" s="1">
        <v>10</v>
      </c>
      <c r="I89" s="1" t="s">
        <v>383</v>
      </c>
    </row>
    <row r="90" spans="2:9" x14ac:dyDescent="0.3">
      <c r="B90" s="1" t="s">
        <v>341</v>
      </c>
      <c r="C90" s="1" t="s">
        <v>342</v>
      </c>
      <c r="D90" s="1" t="s">
        <v>343</v>
      </c>
      <c r="E90" s="1">
        <v>2</v>
      </c>
      <c r="F90" s="1">
        <v>10</v>
      </c>
      <c r="I90" s="1" t="s">
        <v>386</v>
      </c>
    </row>
    <row r="91" spans="2:9" x14ac:dyDescent="0.3">
      <c r="B91" s="1" t="s">
        <v>191</v>
      </c>
      <c r="C91" s="1" t="s">
        <v>158</v>
      </c>
      <c r="D91" s="1" t="s">
        <v>192</v>
      </c>
      <c r="E91" s="1">
        <v>0</v>
      </c>
      <c r="F91" s="1">
        <v>10</v>
      </c>
      <c r="I91" s="1" t="s">
        <v>390</v>
      </c>
    </row>
    <row r="92" spans="2:9" x14ac:dyDescent="0.3">
      <c r="B92" s="1" t="s">
        <v>308</v>
      </c>
      <c r="C92" s="1" t="s">
        <v>158</v>
      </c>
      <c r="D92" s="1" t="s">
        <v>192</v>
      </c>
      <c r="E92" s="1">
        <v>1</v>
      </c>
      <c r="F92" s="1">
        <v>10</v>
      </c>
      <c r="I92" s="1" t="s">
        <v>392</v>
      </c>
    </row>
    <row r="93" spans="2:9" x14ac:dyDescent="0.3">
      <c r="B93" s="1" t="s">
        <v>444</v>
      </c>
      <c r="C93" s="1" t="s">
        <v>158</v>
      </c>
      <c r="D93" s="1" t="s">
        <v>192</v>
      </c>
      <c r="E93" s="1">
        <v>2</v>
      </c>
      <c r="F93" s="1">
        <v>10</v>
      </c>
      <c r="I93" s="1" t="s">
        <v>394</v>
      </c>
    </row>
    <row r="94" spans="2:9" x14ac:dyDescent="0.3">
      <c r="B94" s="1" t="s">
        <v>400</v>
      </c>
      <c r="C94" s="1" t="s">
        <v>158</v>
      </c>
      <c r="D94" s="1" t="s">
        <v>159</v>
      </c>
      <c r="E94" s="1">
        <v>1</v>
      </c>
      <c r="F94" s="1">
        <v>10</v>
      </c>
      <c r="I94" s="1" t="s">
        <v>396</v>
      </c>
    </row>
    <row r="95" spans="2:9" x14ac:dyDescent="0.3">
      <c r="B95" s="1" t="s">
        <v>147</v>
      </c>
      <c r="C95" s="1" t="s">
        <v>148</v>
      </c>
      <c r="D95" s="1" t="s">
        <v>149</v>
      </c>
      <c r="E95" s="1">
        <v>1</v>
      </c>
      <c r="F95" s="1">
        <v>10</v>
      </c>
      <c r="I95" s="1" t="s">
        <v>400</v>
      </c>
    </row>
    <row r="96" spans="2:9" x14ac:dyDescent="0.3">
      <c r="B96" s="1" t="s">
        <v>460</v>
      </c>
      <c r="C96" s="1" t="s">
        <v>461</v>
      </c>
      <c r="D96" s="1" t="s">
        <v>462</v>
      </c>
      <c r="E96" s="1">
        <v>2</v>
      </c>
      <c r="F96" s="1">
        <v>10</v>
      </c>
      <c r="I96" s="1" t="s">
        <v>402</v>
      </c>
    </row>
    <row r="97" spans="2:9" x14ac:dyDescent="0.3">
      <c r="B97" s="1" t="s">
        <v>312</v>
      </c>
      <c r="C97" s="1" t="s">
        <v>215</v>
      </c>
      <c r="D97" s="1" t="s">
        <v>216</v>
      </c>
      <c r="E97" s="1">
        <v>3</v>
      </c>
      <c r="F97" s="1">
        <v>10</v>
      </c>
      <c r="I97" s="1" t="s">
        <v>404</v>
      </c>
    </row>
    <row r="98" spans="2:9" x14ac:dyDescent="0.3">
      <c r="B98" s="1" t="s">
        <v>339</v>
      </c>
      <c r="C98" s="1" t="s">
        <v>158</v>
      </c>
      <c r="D98" s="1" t="s">
        <v>298</v>
      </c>
      <c r="E98" s="1">
        <v>0</v>
      </c>
      <c r="F98" s="1">
        <v>10</v>
      </c>
      <c r="I98" s="1" t="s">
        <v>405</v>
      </c>
    </row>
    <row r="99" spans="2:9" x14ac:dyDescent="0.3">
      <c r="B99" s="1" t="s">
        <v>277</v>
      </c>
      <c r="C99" s="1" t="s">
        <v>189</v>
      </c>
      <c r="D99" s="1" t="s">
        <v>190</v>
      </c>
      <c r="E99" s="1">
        <v>1</v>
      </c>
      <c r="F99" s="1">
        <v>10</v>
      </c>
      <c r="I99" s="1" t="s">
        <v>407</v>
      </c>
    </row>
    <row r="100" spans="2:9" x14ac:dyDescent="0.3">
      <c r="B100" s="1" t="s">
        <v>445</v>
      </c>
      <c r="C100" s="1" t="s">
        <v>158</v>
      </c>
      <c r="D100" s="1" t="s">
        <v>298</v>
      </c>
      <c r="E100" s="1">
        <v>0</v>
      </c>
      <c r="F100" s="1">
        <v>10</v>
      </c>
      <c r="I100" s="1" t="s">
        <v>409</v>
      </c>
    </row>
    <row r="101" spans="2:9" x14ac:dyDescent="0.3">
      <c r="B101" s="1" t="s">
        <v>399</v>
      </c>
      <c r="C101" s="1" t="s">
        <v>212</v>
      </c>
      <c r="D101" s="1" t="s">
        <v>213</v>
      </c>
      <c r="E101" s="1">
        <v>1</v>
      </c>
      <c r="F101" s="1">
        <v>10</v>
      </c>
      <c r="I101" s="1" t="s">
        <v>412</v>
      </c>
    </row>
    <row r="102" spans="2:9" x14ac:dyDescent="0.3">
      <c r="B102" s="1" t="s">
        <v>305</v>
      </c>
      <c r="C102" s="1" t="s">
        <v>306</v>
      </c>
      <c r="D102" s="1" t="s">
        <v>307</v>
      </c>
      <c r="E102" s="1">
        <v>2</v>
      </c>
      <c r="F102" s="1">
        <v>100</v>
      </c>
      <c r="I102" s="1" t="s">
        <v>414</v>
      </c>
    </row>
    <row r="103" spans="2:9" x14ac:dyDescent="0.3">
      <c r="B103" s="1" t="s">
        <v>166</v>
      </c>
      <c r="C103" s="1" t="s">
        <v>158</v>
      </c>
      <c r="D103" s="1" t="s">
        <v>167</v>
      </c>
      <c r="E103" s="1">
        <v>0</v>
      </c>
      <c r="F103" s="1">
        <v>10</v>
      </c>
      <c r="I103" s="1" t="s">
        <v>421</v>
      </c>
    </row>
    <row r="104" spans="2:9" x14ac:dyDescent="0.3">
      <c r="B104" s="1" t="s">
        <v>290</v>
      </c>
      <c r="C104" s="1" t="s">
        <v>212</v>
      </c>
      <c r="D104" s="1" t="s">
        <v>213</v>
      </c>
      <c r="E104" s="1">
        <v>1</v>
      </c>
      <c r="F104" s="1">
        <v>10</v>
      </c>
      <c r="I104" s="1" t="s">
        <v>422</v>
      </c>
    </row>
    <row r="105" spans="2:9" x14ac:dyDescent="0.3">
      <c r="B105" s="1" t="s">
        <v>274</v>
      </c>
      <c r="C105" s="1" t="s">
        <v>275</v>
      </c>
      <c r="D105" s="1" t="s">
        <v>276</v>
      </c>
      <c r="E105" s="1">
        <v>2</v>
      </c>
      <c r="F105" s="1">
        <v>100</v>
      </c>
      <c r="I105" s="1" t="s">
        <v>423</v>
      </c>
    </row>
    <row r="106" spans="2:9" x14ac:dyDescent="0.3">
      <c r="B106" s="1" t="s">
        <v>374</v>
      </c>
      <c r="C106" s="1" t="s">
        <v>158</v>
      </c>
      <c r="D106" s="1" t="s">
        <v>167</v>
      </c>
      <c r="E106" s="1">
        <v>2</v>
      </c>
      <c r="F106" s="1">
        <v>10</v>
      </c>
      <c r="I106" s="1" t="s">
        <v>424</v>
      </c>
    </row>
    <row r="107" spans="2:9" x14ac:dyDescent="0.3">
      <c r="B107" s="1" t="s">
        <v>418</v>
      </c>
      <c r="C107" s="1" t="s">
        <v>419</v>
      </c>
      <c r="D107" s="1" t="s">
        <v>420</v>
      </c>
      <c r="E107" s="1">
        <v>1</v>
      </c>
      <c r="F107" s="1">
        <v>100</v>
      </c>
      <c r="I107" s="1" t="s">
        <v>426</v>
      </c>
    </row>
    <row r="108" spans="2:9" x14ac:dyDescent="0.3">
      <c r="B108" s="1" t="s">
        <v>211</v>
      </c>
      <c r="C108" s="1" t="s">
        <v>212</v>
      </c>
      <c r="D108" s="1" t="s">
        <v>213</v>
      </c>
      <c r="E108" s="1">
        <v>0</v>
      </c>
      <c r="F108" s="1">
        <v>10</v>
      </c>
      <c r="I108" s="1" t="s">
        <v>428</v>
      </c>
    </row>
    <row r="109" spans="2:9" x14ac:dyDescent="0.3">
      <c r="B109" s="1" t="s">
        <v>203</v>
      </c>
      <c r="C109" s="1" t="s">
        <v>158</v>
      </c>
      <c r="D109" s="1" t="s">
        <v>178</v>
      </c>
      <c r="E109" s="1">
        <v>1</v>
      </c>
      <c r="F109" s="1">
        <v>10</v>
      </c>
      <c r="I109" s="1" t="s">
        <v>429</v>
      </c>
    </row>
    <row r="110" spans="2:9" x14ac:dyDescent="0.3">
      <c r="B110" s="1" t="s">
        <v>432</v>
      </c>
      <c r="C110" s="1" t="s">
        <v>158</v>
      </c>
      <c r="D110" s="1" t="s">
        <v>427</v>
      </c>
      <c r="E110" s="1">
        <v>1</v>
      </c>
      <c r="F110" s="1">
        <v>100</v>
      </c>
      <c r="I110" s="1" t="s">
        <v>431</v>
      </c>
    </row>
    <row r="111" spans="2:9" x14ac:dyDescent="0.3">
      <c r="B111" s="1" t="s">
        <v>262</v>
      </c>
      <c r="C111" s="1" t="s">
        <v>227</v>
      </c>
      <c r="D111" s="1" t="s">
        <v>228</v>
      </c>
      <c r="E111" s="1">
        <v>1</v>
      </c>
      <c r="F111" s="1">
        <v>10</v>
      </c>
      <c r="I111" s="1" t="s">
        <v>432</v>
      </c>
    </row>
    <row r="112" spans="2:9" x14ac:dyDescent="0.3">
      <c r="B112" s="1" t="s">
        <v>240</v>
      </c>
      <c r="C112" s="1" t="s">
        <v>158</v>
      </c>
      <c r="D112" s="1" t="s">
        <v>192</v>
      </c>
      <c r="E112" s="1">
        <v>2</v>
      </c>
      <c r="F112" s="1">
        <v>10</v>
      </c>
      <c r="I112" s="1" t="s">
        <v>433</v>
      </c>
    </row>
    <row r="113" spans="2:9" x14ac:dyDescent="0.3">
      <c r="B113" s="1" t="s">
        <v>429</v>
      </c>
      <c r="C113" s="1" t="s">
        <v>158</v>
      </c>
      <c r="D113" s="1" t="s">
        <v>430</v>
      </c>
      <c r="E113" s="1">
        <v>0</v>
      </c>
      <c r="F113" s="1">
        <v>10</v>
      </c>
      <c r="I113" s="1" t="s">
        <v>434</v>
      </c>
    </row>
    <row r="114" spans="2:9" x14ac:dyDescent="0.3">
      <c r="B114" s="1" t="s">
        <v>322</v>
      </c>
      <c r="C114" s="1" t="s">
        <v>158</v>
      </c>
      <c r="D114" s="1" t="s">
        <v>323</v>
      </c>
      <c r="E114" s="1">
        <v>0</v>
      </c>
      <c r="F114" s="1">
        <v>10</v>
      </c>
      <c r="I114" s="1" t="s">
        <v>435</v>
      </c>
    </row>
    <row r="115" spans="2:9" x14ac:dyDescent="0.3">
      <c r="B115" s="1" t="s">
        <v>257</v>
      </c>
      <c r="C115" s="1" t="s">
        <v>158</v>
      </c>
      <c r="D115" s="1" t="s">
        <v>192</v>
      </c>
      <c r="E115" s="1">
        <v>3</v>
      </c>
      <c r="F115" s="1">
        <v>10</v>
      </c>
      <c r="I115" s="1" t="s">
        <v>437</v>
      </c>
    </row>
    <row r="116" spans="2:9" x14ac:dyDescent="0.3">
      <c r="B116" s="1" t="s">
        <v>329</v>
      </c>
      <c r="C116" s="1" t="s">
        <v>215</v>
      </c>
      <c r="D116" s="1" t="s">
        <v>330</v>
      </c>
      <c r="E116" s="1">
        <v>2</v>
      </c>
      <c r="F116" s="1">
        <v>100</v>
      </c>
      <c r="I116" s="1" t="s">
        <v>439</v>
      </c>
    </row>
    <row r="117" spans="2:9" x14ac:dyDescent="0.3">
      <c r="B117" s="1" t="s">
        <v>172</v>
      </c>
      <c r="C117" s="1" t="s">
        <v>173</v>
      </c>
      <c r="D117" s="1" t="s">
        <v>174</v>
      </c>
      <c r="E117" s="1">
        <v>0</v>
      </c>
      <c r="F117" s="1">
        <v>100</v>
      </c>
      <c r="I117" s="1" t="s">
        <v>441</v>
      </c>
    </row>
    <row r="118" spans="2:9" x14ac:dyDescent="0.3">
      <c r="B118" s="1" t="s">
        <v>206</v>
      </c>
      <c r="C118" s="1" t="s">
        <v>158</v>
      </c>
      <c r="D118" s="1" t="s">
        <v>192</v>
      </c>
      <c r="E118" s="1">
        <v>1</v>
      </c>
      <c r="F118" s="1">
        <v>10</v>
      </c>
      <c r="I118" s="1" t="s">
        <v>443</v>
      </c>
    </row>
    <row r="119" spans="2:9" x14ac:dyDescent="0.3">
      <c r="B119" s="1" t="s">
        <v>474</v>
      </c>
      <c r="C119" s="1" t="s">
        <v>158</v>
      </c>
      <c r="D119" s="1" t="s">
        <v>178</v>
      </c>
      <c r="E119" s="1">
        <v>2</v>
      </c>
      <c r="F119" s="1">
        <v>10</v>
      </c>
      <c r="I119" s="1" t="s">
        <v>444</v>
      </c>
    </row>
    <row r="120" spans="2:9" x14ac:dyDescent="0.3">
      <c r="B120" s="1" t="s">
        <v>313</v>
      </c>
      <c r="C120" s="1" t="s">
        <v>170</v>
      </c>
      <c r="D120" s="1" t="s">
        <v>314</v>
      </c>
      <c r="E120" s="1">
        <v>0</v>
      </c>
      <c r="F120" s="1">
        <v>100</v>
      </c>
      <c r="I120" s="1" t="s">
        <v>445</v>
      </c>
    </row>
    <row r="121" spans="2:9" x14ac:dyDescent="0.3">
      <c r="B121" s="1" t="s">
        <v>340</v>
      </c>
      <c r="C121" s="1" t="s">
        <v>158</v>
      </c>
      <c r="D121" s="1" t="s">
        <v>167</v>
      </c>
      <c r="E121" s="1">
        <v>3</v>
      </c>
      <c r="F121" s="1">
        <v>10</v>
      </c>
      <c r="I121" s="1" t="s">
        <v>456</v>
      </c>
    </row>
    <row r="122" spans="2:9" x14ac:dyDescent="0.3">
      <c r="B122" s="1" t="s">
        <v>401</v>
      </c>
      <c r="C122" s="1" t="s">
        <v>143</v>
      </c>
      <c r="D122" s="1" t="s">
        <v>259</v>
      </c>
      <c r="E122" s="1">
        <v>1</v>
      </c>
      <c r="F122" s="1">
        <v>10</v>
      </c>
      <c r="I122" s="1" t="s">
        <v>457</v>
      </c>
    </row>
    <row r="123" spans="2:9" x14ac:dyDescent="0.3">
      <c r="B123" s="1" t="s">
        <v>414</v>
      </c>
      <c r="C123" s="1" t="s">
        <v>158</v>
      </c>
      <c r="D123" s="1" t="s">
        <v>192</v>
      </c>
      <c r="E123" s="1">
        <v>1</v>
      </c>
      <c r="F123" s="1">
        <v>10</v>
      </c>
      <c r="I123" s="1" t="s">
        <v>452</v>
      </c>
    </row>
    <row r="124" spans="2:9" x14ac:dyDescent="0.3">
      <c r="B124" s="1" t="s">
        <v>196</v>
      </c>
      <c r="C124" s="1" t="s">
        <v>158</v>
      </c>
      <c r="D124" s="1" t="s">
        <v>192</v>
      </c>
      <c r="E124" s="1">
        <v>1</v>
      </c>
      <c r="F124" s="1">
        <v>10</v>
      </c>
      <c r="I124" s="1" t="s">
        <v>458</v>
      </c>
    </row>
    <row r="125" spans="2:9" x14ac:dyDescent="0.3">
      <c r="B125" s="1" t="s">
        <v>299</v>
      </c>
      <c r="C125" s="1" t="s">
        <v>158</v>
      </c>
      <c r="D125" s="1" t="s">
        <v>192</v>
      </c>
      <c r="E125" s="1">
        <v>1</v>
      </c>
      <c r="F125" s="1">
        <v>10</v>
      </c>
      <c r="I125" s="1" t="s">
        <v>464</v>
      </c>
    </row>
    <row r="126" spans="2:9" x14ac:dyDescent="0.3">
      <c r="B126" s="1" t="s">
        <v>434</v>
      </c>
      <c r="C126" s="1" t="s">
        <v>158</v>
      </c>
      <c r="D126" s="1" t="s">
        <v>192</v>
      </c>
      <c r="E126" s="1">
        <v>1</v>
      </c>
      <c r="F126" s="1">
        <v>10</v>
      </c>
      <c r="I126" s="1" t="s">
        <v>469</v>
      </c>
    </row>
    <row r="127" spans="2:9" x14ac:dyDescent="0.3">
      <c r="B127" s="1" t="s">
        <v>194</v>
      </c>
      <c r="C127" s="1" t="s">
        <v>143</v>
      </c>
      <c r="D127" s="1" t="s">
        <v>195</v>
      </c>
      <c r="E127" s="1">
        <v>0</v>
      </c>
      <c r="F127" s="1">
        <v>10</v>
      </c>
      <c r="I127" s="1" t="s">
        <v>471</v>
      </c>
    </row>
    <row r="128" spans="2:9" x14ac:dyDescent="0.3">
      <c r="B128" s="1" t="s">
        <v>466</v>
      </c>
      <c r="C128" s="1" t="s">
        <v>215</v>
      </c>
      <c r="D128" s="1" t="s">
        <v>467</v>
      </c>
      <c r="E128" s="1">
        <v>0</v>
      </c>
      <c r="F128" s="1">
        <v>100</v>
      </c>
      <c r="I128" s="1" t="s">
        <v>474</v>
      </c>
    </row>
    <row r="129" spans="2:9" x14ac:dyDescent="0.3">
      <c r="B129" s="1" t="s">
        <v>437</v>
      </c>
      <c r="C129" s="1" t="s">
        <v>215</v>
      </c>
      <c r="D129" s="1" t="s">
        <v>438</v>
      </c>
      <c r="E129" s="1">
        <v>0</v>
      </c>
      <c r="F129" s="1">
        <v>10</v>
      </c>
      <c r="I129" s="1" t="s">
        <v>475</v>
      </c>
    </row>
    <row r="130" spans="2:9" x14ac:dyDescent="0.3">
      <c r="B130" s="1" t="s">
        <v>373</v>
      </c>
      <c r="C130" s="1" t="s">
        <v>143</v>
      </c>
      <c r="D130" s="1" t="s">
        <v>259</v>
      </c>
      <c r="E130" s="1">
        <v>2</v>
      </c>
      <c r="F130" s="1">
        <v>10</v>
      </c>
      <c r="I130" s="1" t="s">
        <v>477</v>
      </c>
    </row>
    <row r="131" spans="2:9" x14ac:dyDescent="0.3">
      <c r="B131" s="1" t="s">
        <v>361</v>
      </c>
      <c r="C131" s="1" t="s">
        <v>362</v>
      </c>
      <c r="D131" s="1" t="s">
        <v>363</v>
      </c>
      <c r="E131" s="1">
        <v>2</v>
      </c>
      <c r="F131" s="1">
        <v>100</v>
      </c>
    </row>
    <row r="132" spans="2:9" x14ac:dyDescent="0.3">
      <c r="B132" s="1" t="s">
        <v>396</v>
      </c>
      <c r="C132" s="1" t="s">
        <v>227</v>
      </c>
      <c r="D132" s="1" t="s">
        <v>397</v>
      </c>
      <c r="E132" s="1">
        <v>1</v>
      </c>
      <c r="F132" s="1">
        <v>10</v>
      </c>
    </row>
    <row r="133" spans="2:9" x14ac:dyDescent="0.3">
      <c r="B133" s="1" t="s">
        <v>468</v>
      </c>
      <c r="C133" s="1" t="s">
        <v>215</v>
      </c>
      <c r="D133" s="1" t="s">
        <v>467</v>
      </c>
      <c r="E133" s="1">
        <v>0</v>
      </c>
      <c r="F133" s="1">
        <v>100</v>
      </c>
    </row>
    <row r="134" spans="2:9" x14ac:dyDescent="0.3">
      <c r="B134" s="1" t="s">
        <v>226</v>
      </c>
      <c r="C134" s="1" t="s">
        <v>227</v>
      </c>
      <c r="D134" s="1" t="s">
        <v>228</v>
      </c>
      <c r="E134" s="1">
        <v>2</v>
      </c>
      <c r="F134" s="1">
        <v>10</v>
      </c>
    </row>
    <row r="135" spans="2:9" x14ac:dyDescent="0.3">
      <c r="B135" s="1" t="s">
        <v>193</v>
      </c>
      <c r="C135" s="1" t="s">
        <v>189</v>
      </c>
      <c r="D135" s="1" t="s">
        <v>190</v>
      </c>
      <c r="E135" s="1">
        <v>0</v>
      </c>
      <c r="F135" s="1">
        <v>10</v>
      </c>
    </row>
    <row r="136" spans="2:9" x14ac:dyDescent="0.3">
      <c r="B136" s="1" t="s">
        <v>157</v>
      </c>
      <c r="C136" s="1" t="s">
        <v>158</v>
      </c>
      <c r="D136" s="1" t="s">
        <v>159</v>
      </c>
      <c r="E136" s="1">
        <v>2</v>
      </c>
      <c r="F136" s="1">
        <v>10</v>
      </c>
    </row>
    <row r="137" spans="2:9" x14ac:dyDescent="0.3">
      <c r="B137" s="1" t="s">
        <v>163</v>
      </c>
      <c r="C137" s="1" t="s">
        <v>161</v>
      </c>
      <c r="D137" s="1" t="s">
        <v>164</v>
      </c>
      <c r="E137" s="1">
        <v>3</v>
      </c>
      <c r="F137" s="1">
        <v>100</v>
      </c>
    </row>
    <row r="138" spans="2:9" x14ac:dyDescent="0.3">
      <c r="B138" s="1" t="s">
        <v>463</v>
      </c>
      <c r="C138" s="1" t="s">
        <v>450</v>
      </c>
      <c r="D138" s="1" t="s">
        <v>451</v>
      </c>
      <c r="E138" s="1">
        <v>2</v>
      </c>
      <c r="F138" s="1">
        <v>10</v>
      </c>
    </row>
    <row r="139" spans="2:9" x14ac:dyDescent="0.3">
      <c r="B139" s="1" t="s">
        <v>439</v>
      </c>
      <c r="C139" s="1" t="s">
        <v>158</v>
      </c>
      <c r="D139" s="1" t="s">
        <v>440</v>
      </c>
      <c r="E139" s="1">
        <v>0</v>
      </c>
      <c r="F139" s="1">
        <v>0</v>
      </c>
    </row>
    <row r="140" spans="2:9" x14ac:dyDescent="0.3">
      <c r="B140" s="1" t="s">
        <v>388</v>
      </c>
      <c r="C140" s="1" t="s">
        <v>222</v>
      </c>
      <c r="D140" s="1" t="s">
        <v>310</v>
      </c>
      <c r="E140" s="1">
        <v>2</v>
      </c>
      <c r="F140" s="1">
        <v>10</v>
      </c>
    </row>
    <row r="141" spans="2:9" x14ac:dyDescent="0.3">
      <c r="B141" s="1" t="s">
        <v>394</v>
      </c>
      <c r="C141" s="1" t="s">
        <v>222</v>
      </c>
      <c r="D141" s="1" t="s">
        <v>395</v>
      </c>
      <c r="E141" s="1">
        <v>0</v>
      </c>
      <c r="F141" s="1">
        <v>10</v>
      </c>
    </row>
    <row r="142" spans="2:9" x14ac:dyDescent="0.3">
      <c r="B142" s="1" t="s">
        <v>169</v>
      </c>
      <c r="C142" s="1" t="s">
        <v>170</v>
      </c>
      <c r="D142" s="1" t="s">
        <v>171</v>
      </c>
      <c r="E142" s="1">
        <v>0</v>
      </c>
      <c r="F142" s="1">
        <v>100</v>
      </c>
    </row>
    <row r="143" spans="2:9" x14ac:dyDescent="0.3">
      <c r="B143" s="1" t="s">
        <v>218</v>
      </c>
      <c r="C143" s="1" t="s">
        <v>219</v>
      </c>
      <c r="D143" s="1" t="s">
        <v>220</v>
      </c>
      <c r="E143" s="1">
        <v>2</v>
      </c>
      <c r="F143" s="1">
        <v>10</v>
      </c>
    </row>
    <row r="144" spans="2:9" x14ac:dyDescent="0.3">
      <c r="B144" s="1" t="s">
        <v>160</v>
      </c>
      <c r="C144" s="1" t="s">
        <v>161</v>
      </c>
      <c r="D144" s="1" t="s">
        <v>162</v>
      </c>
      <c r="E144" s="1">
        <v>1</v>
      </c>
      <c r="F144" s="1">
        <v>100</v>
      </c>
    </row>
    <row r="145" spans="2:6" x14ac:dyDescent="0.3">
      <c r="B145" s="1" t="s">
        <v>246</v>
      </c>
      <c r="C145" s="1" t="s">
        <v>170</v>
      </c>
      <c r="D145" s="1" t="s">
        <v>171</v>
      </c>
      <c r="E145" s="1">
        <v>0</v>
      </c>
      <c r="F145" s="1">
        <v>100</v>
      </c>
    </row>
    <row r="146" spans="2:6" x14ac:dyDescent="0.3">
      <c r="B146" s="1" t="s">
        <v>421</v>
      </c>
      <c r="C146" s="1" t="s">
        <v>222</v>
      </c>
      <c r="D146" s="1" t="s">
        <v>395</v>
      </c>
      <c r="E146" s="1">
        <v>1</v>
      </c>
      <c r="F146" s="1">
        <v>10</v>
      </c>
    </row>
    <row r="147" spans="2:6" x14ac:dyDescent="0.3">
      <c r="B147" s="1" t="s">
        <v>389</v>
      </c>
      <c r="C147" s="1" t="s">
        <v>170</v>
      </c>
      <c r="D147" s="1" t="s">
        <v>171</v>
      </c>
      <c r="E147" s="1">
        <v>2</v>
      </c>
      <c r="F147" s="1">
        <v>100</v>
      </c>
    </row>
    <row r="148" spans="2:6" x14ac:dyDescent="0.3">
      <c r="B148" s="1" t="s">
        <v>405</v>
      </c>
      <c r="C148" s="1" t="s">
        <v>186</v>
      </c>
      <c r="D148" s="1" t="s">
        <v>406</v>
      </c>
      <c r="E148" s="1">
        <v>1</v>
      </c>
      <c r="F148" s="1">
        <v>10</v>
      </c>
    </row>
    <row r="149" spans="2:6" x14ac:dyDescent="0.3">
      <c r="B149" s="1" t="s">
        <v>210</v>
      </c>
      <c r="C149" s="1" t="s">
        <v>158</v>
      </c>
      <c r="D149" s="1" t="s">
        <v>178</v>
      </c>
      <c r="E149" s="1">
        <v>1</v>
      </c>
      <c r="F149" s="1">
        <v>10</v>
      </c>
    </row>
    <row r="150" spans="2:6" x14ac:dyDescent="0.3">
      <c r="B150" s="1" t="s">
        <v>331</v>
      </c>
      <c r="C150" s="1" t="s">
        <v>332</v>
      </c>
      <c r="D150" s="1" t="s">
        <v>333</v>
      </c>
      <c r="E150" s="1">
        <v>1</v>
      </c>
      <c r="F150" s="1">
        <v>10</v>
      </c>
    </row>
    <row r="151" spans="2:6" x14ac:dyDescent="0.3">
      <c r="B151" s="1" t="s">
        <v>500</v>
      </c>
      <c r="C151" s="1" t="s">
        <v>189</v>
      </c>
      <c r="D151" s="1" t="s">
        <v>501</v>
      </c>
      <c r="E151" s="1">
        <v>0</v>
      </c>
      <c r="F151" s="1">
        <v>0</v>
      </c>
    </row>
    <row r="152" spans="2:6" x14ac:dyDescent="0.3">
      <c r="B152" s="1" t="s">
        <v>244</v>
      </c>
      <c r="C152" s="1" t="s">
        <v>161</v>
      </c>
      <c r="D152" s="1" t="s">
        <v>245</v>
      </c>
      <c r="E152" s="1">
        <v>1</v>
      </c>
      <c r="F152" s="1">
        <v>100</v>
      </c>
    </row>
    <row r="153" spans="2:6" x14ac:dyDescent="0.3">
      <c r="B153" s="1" t="s">
        <v>327</v>
      </c>
      <c r="C153" s="1" t="s">
        <v>158</v>
      </c>
      <c r="D153" s="1" t="s">
        <v>328</v>
      </c>
      <c r="E153" s="1">
        <v>2</v>
      </c>
      <c r="F153" s="1">
        <v>100</v>
      </c>
    </row>
    <row r="154" spans="2:6" x14ac:dyDescent="0.3">
      <c r="B154" s="1" t="s">
        <v>301</v>
      </c>
      <c r="C154" s="1" t="s">
        <v>215</v>
      </c>
      <c r="D154" s="1" t="s">
        <v>302</v>
      </c>
      <c r="E154" s="1">
        <v>2</v>
      </c>
      <c r="F154" s="1">
        <v>100</v>
      </c>
    </row>
    <row r="155" spans="2:6" x14ac:dyDescent="0.3">
      <c r="B155" s="1" t="s">
        <v>268</v>
      </c>
      <c r="C155" s="1" t="s">
        <v>269</v>
      </c>
      <c r="D155" s="1" t="s">
        <v>270</v>
      </c>
      <c r="E155" s="1">
        <v>0</v>
      </c>
      <c r="F155" s="1">
        <v>100</v>
      </c>
    </row>
    <row r="156" spans="2:6" x14ac:dyDescent="0.3">
      <c r="B156" s="1" t="s">
        <v>326</v>
      </c>
      <c r="C156" s="1" t="s">
        <v>158</v>
      </c>
      <c r="D156" s="1" t="s">
        <v>192</v>
      </c>
      <c r="E156" s="1">
        <v>2</v>
      </c>
      <c r="F156" s="1">
        <v>10</v>
      </c>
    </row>
    <row r="157" spans="2:6" x14ac:dyDescent="0.3">
      <c r="B157" s="1" t="s">
        <v>182</v>
      </c>
      <c r="C157" s="1" t="s">
        <v>180</v>
      </c>
      <c r="D157" s="1" t="s">
        <v>183</v>
      </c>
      <c r="E157" s="1">
        <v>1</v>
      </c>
      <c r="F157" s="1">
        <v>0</v>
      </c>
    </row>
    <row r="158" spans="2:6" x14ac:dyDescent="0.3">
      <c r="B158" s="1" t="s">
        <v>11</v>
      </c>
      <c r="C158" s="1" t="s">
        <v>204</v>
      </c>
      <c r="D158" s="1" t="s">
        <v>205</v>
      </c>
      <c r="E158" s="1">
        <v>2</v>
      </c>
      <c r="F158" s="1">
        <v>100</v>
      </c>
    </row>
    <row r="159" spans="2:6" x14ac:dyDescent="0.3">
      <c r="B159" s="1" t="s">
        <v>457</v>
      </c>
      <c r="C159" s="1" t="s">
        <v>158</v>
      </c>
      <c r="D159" s="1" t="s">
        <v>328</v>
      </c>
      <c r="E159" s="1">
        <v>2</v>
      </c>
      <c r="F159" s="1">
        <v>100</v>
      </c>
    </row>
    <row r="160" spans="2:6" x14ac:dyDescent="0.3">
      <c r="B160" s="1" t="s">
        <v>452</v>
      </c>
      <c r="C160" s="1" t="s">
        <v>453</v>
      </c>
      <c r="D160" s="1" t="s">
        <v>454</v>
      </c>
      <c r="E160" s="1">
        <v>2</v>
      </c>
      <c r="F160" s="1">
        <v>100</v>
      </c>
    </row>
    <row r="161" spans="2:6" x14ac:dyDescent="0.3">
      <c r="B161" s="1" t="s">
        <v>346</v>
      </c>
      <c r="C161" s="1" t="s">
        <v>212</v>
      </c>
      <c r="D161" s="1" t="s">
        <v>347</v>
      </c>
      <c r="E161" s="1">
        <v>2</v>
      </c>
      <c r="F161" s="1">
        <v>0</v>
      </c>
    </row>
    <row r="162" spans="2:6" x14ac:dyDescent="0.3">
      <c r="B162" s="1" t="s">
        <v>366</v>
      </c>
      <c r="C162" s="1" t="s">
        <v>148</v>
      </c>
      <c r="D162" s="1" t="s">
        <v>367</v>
      </c>
      <c r="E162" s="1">
        <v>0</v>
      </c>
      <c r="F162" s="1">
        <v>10</v>
      </c>
    </row>
    <row r="163" spans="2:6" x14ac:dyDescent="0.3">
      <c r="B163" s="1" t="s">
        <v>255</v>
      </c>
      <c r="C163" s="1" t="s">
        <v>158</v>
      </c>
      <c r="D163" s="1" t="s">
        <v>256</v>
      </c>
      <c r="E163" s="1">
        <v>1</v>
      </c>
      <c r="F163" s="1">
        <v>10</v>
      </c>
    </row>
    <row r="164" spans="2:6" x14ac:dyDescent="0.3">
      <c r="B164" s="1" t="s">
        <v>154</v>
      </c>
      <c r="C164" s="1" t="s">
        <v>155</v>
      </c>
      <c r="D164" s="1" t="s">
        <v>156</v>
      </c>
      <c r="E164" s="1">
        <v>2</v>
      </c>
      <c r="F164" s="1">
        <v>10</v>
      </c>
    </row>
    <row r="165" spans="2:6" x14ac:dyDescent="0.3">
      <c r="B165" s="1" t="s">
        <v>402</v>
      </c>
      <c r="C165" s="1" t="s">
        <v>158</v>
      </c>
      <c r="D165" s="1" t="s">
        <v>403</v>
      </c>
      <c r="E165" s="1">
        <v>1</v>
      </c>
      <c r="F165" s="1">
        <v>10</v>
      </c>
    </row>
    <row r="166" spans="2:6" x14ac:dyDescent="0.3">
      <c r="B166" s="1" t="s">
        <v>334</v>
      </c>
      <c r="C166" s="1" t="s">
        <v>335</v>
      </c>
      <c r="D166" s="1" t="s">
        <v>336</v>
      </c>
      <c r="E166" s="1">
        <v>1</v>
      </c>
      <c r="F166" s="1">
        <v>100</v>
      </c>
    </row>
    <row r="167" spans="2:6" x14ac:dyDescent="0.3">
      <c r="B167" s="1" t="s">
        <v>446</v>
      </c>
      <c r="C167" s="1" t="s">
        <v>447</v>
      </c>
      <c r="D167" s="1" t="s">
        <v>448</v>
      </c>
      <c r="E167" s="1">
        <v>2</v>
      </c>
      <c r="F167" s="1">
        <v>100</v>
      </c>
    </row>
    <row r="168" spans="2:6" x14ac:dyDescent="0.3">
      <c r="B168" s="1" t="s">
        <v>217</v>
      </c>
      <c r="C168" s="1" t="s">
        <v>170</v>
      </c>
      <c r="D168" s="1" t="s">
        <v>171</v>
      </c>
      <c r="E168" s="1">
        <v>2</v>
      </c>
      <c r="F168" s="1">
        <v>100</v>
      </c>
    </row>
    <row r="169" spans="2:6" x14ac:dyDescent="0.3">
      <c r="B169" s="1" t="s">
        <v>282</v>
      </c>
      <c r="C169" s="1" t="s">
        <v>283</v>
      </c>
      <c r="D169" s="1" t="s">
        <v>284</v>
      </c>
      <c r="E169" s="1">
        <v>2</v>
      </c>
      <c r="F169" s="1">
        <v>100</v>
      </c>
    </row>
    <row r="170" spans="2:6" x14ac:dyDescent="0.3">
      <c r="B170" s="1" t="s">
        <v>207</v>
      </c>
      <c r="C170" s="1" t="s">
        <v>170</v>
      </c>
      <c r="D170" s="1" t="s">
        <v>171</v>
      </c>
      <c r="E170" s="1">
        <v>0</v>
      </c>
      <c r="F170" s="1">
        <v>100</v>
      </c>
    </row>
    <row r="171" spans="2:6" x14ac:dyDescent="0.3">
      <c r="B171" s="1" t="s">
        <v>151</v>
      </c>
      <c r="C171" s="1" t="s">
        <v>143</v>
      </c>
      <c r="D171" s="1" t="s">
        <v>152</v>
      </c>
      <c r="E171" s="1">
        <v>2</v>
      </c>
      <c r="F171" s="1">
        <v>100</v>
      </c>
    </row>
    <row r="172" spans="2:6" x14ac:dyDescent="0.3">
      <c r="B172" s="1" t="s">
        <v>344</v>
      </c>
      <c r="C172" s="1" t="s">
        <v>143</v>
      </c>
      <c r="D172" s="1" t="s">
        <v>152</v>
      </c>
      <c r="E172" s="1">
        <v>2</v>
      </c>
      <c r="F172" s="1">
        <v>100</v>
      </c>
    </row>
    <row r="173" spans="2:6" x14ac:dyDescent="0.3">
      <c r="B173" s="1" t="s">
        <v>142</v>
      </c>
      <c r="C173" s="1" t="s">
        <v>143</v>
      </c>
      <c r="D173" s="1" t="s">
        <v>144</v>
      </c>
      <c r="E173" s="1">
        <v>1</v>
      </c>
      <c r="F173" s="1">
        <v>100</v>
      </c>
    </row>
    <row r="174" spans="2:6" x14ac:dyDescent="0.3">
      <c r="B174" s="1" t="s">
        <v>350</v>
      </c>
      <c r="C174" s="1" t="s">
        <v>143</v>
      </c>
      <c r="D174" s="1" t="s">
        <v>152</v>
      </c>
      <c r="E174" s="1">
        <v>0</v>
      </c>
      <c r="F174" s="1">
        <v>100</v>
      </c>
    </row>
    <row r="175" spans="2:6" x14ac:dyDescent="0.3">
      <c r="B175" s="1" t="s">
        <v>233</v>
      </c>
      <c r="C175" s="1" t="s">
        <v>143</v>
      </c>
      <c r="D175" s="1" t="s">
        <v>152</v>
      </c>
      <c r="E175" s="1">
        <v>2</v>
      </c>
      <c r="F175" s="1">
        <v>100</v>
      </c>
    </row>
    <row r="176" spans="2:6" x14ac:dyDescent="0.3">
      <c r="B176" s="1" t="s">
        <v>271</v>
      </c>
      <c r="C176" s="1" t="s">
        <v>143</v>
      </c>
      <c r="D176" s="1" t="s">
        <v>152</v>
      </c>
      <c r="E176" s="1">
        <v>0</v>
      </c>
      <c r="F176" s="1">
        <v>100</v>
      </c>
    </row>
    <row r="177" spans="2:6" x14ac:dyDescent="0.3">
      <c r="B177" s="1" t="s">
        <v>455</v>
      </c>
      <c r="C177" s="1" t="s">
        <v>143</v>
      </c>
      <c r="D177" s="1" t="s">
        <v>152</v>
      </c>
      <c r="E177" s="1">
        <v>0</v>
      </c>
      <c r="F177" s="1">
        <v>100</v>
      </c>
    </row>
    <row r="178" spans="2:6" x14ac:dyDescent="0.3">
      <c r="B178" s="1" t="s">
        <v>272</v>
      </c>
      <c r="C178" s="1" t="s">
        <v>219</v>
      </c>
      <c r="D178" s="1" t="s">
        <v>273</v>
      </c>
      <c r="E178" s="1">
        <v>1</v>
      </c>
      <c r="F178" s="1">
        <v>10</v>
      </c>
    </row>
    <row r="179" spans="2:6" x14ac:dyDescent="0.3">
      <c r="B179" s="1" t="s">
        <v>480</v>
      </c>
      <c r="C179" s="1" t="s">
        <v>481</v>
      </c>
      <c r="D179" s="1" t="s">
        <v>482</v>
      </c>
      <c r="E179" s="1">
        <v>2</v>
      </c>
      <c r="F179" s="1">
        <v>100</v>
      </c>
    </row>
    <row r="180" spans="2:6" x14ac:dyDescent="0.3">
      <c r="B180" s="1" t="s">
        <v>337</v>
      </c>
      <c r="C180" s="1" t="s">
        <v>176</v>
      </c>
      <c r="D180" s="1" t="s">
        <v>338</v>
      </c>
      <c r="E180" s="1">
        <v>1</v>
      </c>
      <c r="F180" s="1">
        <v>100</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3F86F-7625-42E1-90B9-A15666DA51A2}">
  <sheetPr codeName="Sheet1"/>
  <dimension ref="B1:G182"/>
  <sheetViews>
    <sheetView showGridLines="0" zoomScale="85" zoomScaleNormal="85" workbookViewId="0">
      <selection activeCell="C2" sqref="C2"/>
    </sheetView>
  </sheetViews>
  <sheetFormatPr defaultColWidth="9.23046875" defaultRowHeight="18.75" x14ac:dyDescent="0.3"/>
  <cols>
    <col min="1" max="1" width="9.23046875" style="1"/>
    <col min="2" max="2" width="32.3828125" style="1" bestFit="1" customWidth="1"/>
    <col min="3" max="3" width="27.4609375" style="1" bestFit="1" customWidth="1"/>
    <col min="4" max="4" width="38.69140625" style="1" bestFit="1" customWidth="1"/>
    <col min="5" max="5" width="7.4609375" style="1" bestFit="1" customWidth="1"/>
    <col min="6" max="6" width="9.765625" style="1" bestFit="1" customWidth="1"/>
    <col min="7" max="7" width="6.3046875" style="1" bestFit="1" customWidth="1"/>
    <col min="8" max="8" width="7.07421875" style="1" bestFit="1" customWidth="1"/>
    <col min="9" max="16384" width="9.23046875" style="1"/>
  </cols>
  <sheetData>
    <row r="1" spans="2:7" ht="19.5" thickBot="1" x14ac:dyDescent="0.35"/>
    <row r="2" spans="2:7" ht="19.5" thickBot="1" x14ac:dyDescent="0.35">
      <c r="B2" s="14" t="s">
        <v>135</v>
      </c>
      <c r="C2" s="15" t="s">
        <v>150</v>
      </c>
      <c r="D2" s="1" t="s">
        <v>136</v>
      </c>
    </row>
    <row r="4" spans="2:7" x14ac:dyDescent="0.3">
      <c r="B4" s="1" t="s">
        <v>137</v>
      </c>
      <c r="C4" s="1" t="s">
        <v>138</v>
      </c>
      <c r="D4" s="1" t="s">
        <v>139</v>
      </c>
      <c r="E4" s="1" t="s">
        <v>2</v>
      </c>
      <c r="F4" s="1" t="s">
        <v>140</v>
      </c>
      <c r="G4" s="1" t="s">
        <v>141</v>
      </c>
    </row>
    <row r="5" spans="2:7" x14ac:dyDescent="0.3">
      <c r="B5" s="1" t="s">
        <v>142</v>
      </c>
      <c r="C5" s="1" t="s">
        <v>143</v>
      </c>
      <c r="D5" s="1" t="s">
        <v>144</v>
      </c>
      <c r="E5" s="1" t="s">
        <v>145</v>
      </c>
      <c r="F5" s="1" t="s">
        <v>146</v>
      </c>
      <c r="G5" s="1" t="b">
        <v>0</v>
      </c>
    </row>
    <row r="6" spans="2:7" x14ac:dyDescent="0.3">
      <c r="B6" s="1" t="s">
        <v>147</v>
      </c>
      <c r="C6" s="1" t="s">
        <v>148</v>
      </c>
      <c r="D6" s="1" t="s">
        <v>149</v>
      </c>
      <c r="E6" s="1" t="s">
        <v>145</v>
      </c>
      <c r="F6" s="1" t="s">
        <v>150</v>
      </c>
      <c r="G6" s="1" t="b">
        <v>1</v>
      </c>
    </row>
    <row r="7" spans="2:7" x14ac:dyDescent="0.3">
      <c r="B7" s="1" t="s">
        <v>151</v>
      </c>
      <c r="C7" s="1" t="s">
        <v>143</v>
      </c>
      <c r="D7" s="1" t="s">
        <v>152</v>
      </c>
      <c r="E7" s="1" t="s">
        <v>153</v>
      </c>
      <c r="F7" s="1" t="s">
        <v>146</v>
      </c>
      <c r="G7" s="1" t="b">
        <v>0</v>
      </c>
    </row>
    <row r="8" spans="2:7" x14ac:dyDescent="0.3">
      <c r="B8" s="1" t="s">
        <v>154</v>
      </c>
      <c r="C8" s="1" t="s">
        <v>155</v>
      </c>
      <c r="D8" s="1" t="s">
        <v>156</v>
      </c>
      <c r="E8" s="1" t="s">
        <v>153</v>
      </c>
      <c r="F8" s="1" t="s">
        <v>150</v>
      </c>
      <c r="G8" s="1" t="b">
        <v>1</v>
      </c>
    </row>
    <row r="9" spans="2:7" x14ac:dyDescent="0.3">
      <c r="B9" s="1" t="s">
        <v>157</v>
      </c>
      <c r="C9" s="1" t="s">
        <v>158</v>
      </c>
      <c r="D9" s="1" t="s">
        <v>159</v>
      </c>
      <c r="E9" s="1" t="s">
        <v>153</v>
      </c>
      <c r="F9" s="1" t="s">
        <v>150</v>
      </c>
      <c r="G9" s="1" t="b">
        <v>1</v>
      </c>
    </row>
    <row r="10" spans="2:7" x14ac:dyDescent="0.3">
      <c r="B10" s="1" t="s">
        <v>160</v>
      </c>
      <c r="C10" s="1" t="s">
        <v>161</v>
      </c>
      <c r="D10" s="1" t="s">
        <v>162</v>
      </c>
      <c r="E10" s="1" t="s">
        <v>145</v>
      </c>
      <c r="F10" s="1" t="s">
        <v>146</v>
      </c>
      <c r="G10" s="1" t="b">
        <v>0</v>
      </c>
    </row>
    <row r="11" spans="2:7" x14ac:dyDescent="0.3">
      <c r="B11" s="1" t="s">
        <v>163</v>
      </c>
      <c r="C11" s="1" t="s">
        <v>161</v>
      </c>
      <c r="D11" s="1" t="s">
        <v>164</v>
      </c>
      <c r="E11" s="1" t="s">
        <v>165</v>
      </c>
      <c r="F11" s="1" t="s">
        <v>146</v>
      </c>
      <c r="G11" s="1" t="b">
        <v>0</v>
      </c>
    </row>
    <row r="12" spans="2:7" x14ac:dyDescent="0.3">
      <c r="B12" s="1" t="s">
        <v>166</v>
      </c>
      <c r="C12" s="1" t="s">
        <v>158</v>
      </c>
      <c r="D12" s="1" t="s">
        <v>167</v>
      </c>
      <c r="E12" s="1" t="s">
        <v>168</v>
      </c>
      <c r="F12" s="1" t="s">
        <v>150</v>
      </c>
      <c r="G12" s="1" t="b">
        <v>1</v>
      </c>
    </row>
    <row r="13" spans="2:7" x14ac:dyDescent="0.3">
      <c r="B13" s="1" t="s">
        <v>169</v>
      </c>
      <c r="C13" s="1" t="s">
        <v>170</v>
      </c>
      <c r="D13" s="1" t="s">
        <v>171</v>
      </c>
      <c r="E13" s="1" t="s">
        <v>168</v>
      </c>
      <c r="F13" s="1" t="s">
        <v>146</v>
      </c>
      <c r="G13" s="1" t="b">
        <v>0</v>
      </c>
    </row>
    <row r="14" spans="2:7" x14ac:dyDescent="0.3">
      <c r="B14" s="1" t="s">
        <v>172</v>
      </c>
      <c r="C14" s="1" t="s">
        <v>173</v>
      </c>
      <c r="D14" s="1" t="s">
        <v>174</v>
      </c>
      <c r="E14" s="1" t="s">
        <v>168</v>
      </c>
      <c r="F14" s="1" t="s">
        <v>146</v>
      </c>
      <c r="G14" s="1" t="b">
        <v>0</v>
      </c>
    </row>
    <row r="15" spans="2:7" x14ac:dyDescent="0.3">
      <c r="B15" s="1" t="s">
        <v>175</v>
      </c>
      <c r="C15" s="1" t="s">
        <v>176</v>
      </c>
      <c r="D15" s="1" t="s">
        <v>177</v>
      </c>
      <c r="E15" s="1" t="s">
        <v>145</v>
      </c>
      <c r="F15" s="1" t="s">
        <v>150</v>
      </c>
      <c r="G15" s="1" t="b">
        <v>1</v>
      </c>
    </row>
    <row r="16" spans="2:7" x14ac:dyDescent="0.3">
      <c r="B16" s="1" t="s">
        <v>10</v>
      </c>
      <c r="C16" s="1" t="s">
        <v>158</v>
      </c>
      <c r="D16" s="1" t="s">
        <v>178</v>
      </c>
      <c r="E16" s="1" t="s">
        <v>145</v>
      </c>
      <c r="F16" s="1" t="s">
        <v>150</v>
      </c>
      <c r="G16" s="1" t="b">
        <v>1</v>
      </c>
    </row>
    <row r="17" spans="2:7" x14ac:dyDescent="0.3">
      <c r="B17" s="1" t="s">
        <v>179</v>
      </c>
      <c r="C17" s="1" t="s">
        <v>180</v>
      </c>
      <c r="D17" s="1" t="s">
        <v>181</v>
      </c>
      <c r="E17" s="1" t="s">
        <v>145</v>
      </c>
      <c r="F17" s="1" t="s">
        <v>150</v>
      </c>
      <c r="G17" s="1" t="b">
        <v>1</v>
      </c>
    </row>
    <row r="18" spans="2:7" x14ac:dyDescent="0.3">
      <c r="B18" s="1" t="s">
        <v>182</v>
      </c>
      <c r="C18" s="1" t="s">
        <v>180</v>
      </c>
      <c r="D18" s="1" t="s">
        <v>183</v>
      </c>
      <c r="E18" s="1" t="s">
        <v>145</v>
      </c>
      <c r="F18" s="1" t="s">
        <v>184</v>
      </c>
      <c r="G18" s="1" t="b">
        <v>1</v>
      </c>
    </row>
    <row r="19" spans="2:7" x14ac:dyDescent="0.3">
      <c r="B19" s="1" t="s">
        <v>185</v>
      </c>
      <c r="C19" s="1" t="s">
        <v>186</v>
      </c>
      <c r="D19" s="1" t="s">
        <v>187</v>
      </c>
      <c r="E19" s="1" t="s">
        <v>165</v>
      </c>
      <c r="F19" s="1" t="s">
        <v>150</v>
      </c>
      <c r="G19" s="1" t="b">
        <v>1</v>
      </c>
    </row>
    <row r="20" spans="2:7" x14ac:dyDescent="0.3">
      <c r="B20" s="1" t="s">
        <v>188</v>
      </c>
      <c r="C20" s="1" t="s">
        <v>189</v>
      </c>
      <c r="D20" s="1" t="s">
        <v>190</v>
      </c>
      <c r="E20" s="1" t="s">
        <v>145</v>
      </c>
      <c r="F20" s="1" t="s">
        <v>150</v>
      </c>
      <c r="G20" s="1" t="b">
        <v>1</v>
      </c>
    </row>
    <row r="21" spans="2:7" x14ac:dyDescent="0.3">
      <c r="B21" s="1" t="s">
        <v>191</v>
      </c>
      <c r="C21" s="1" t="s">
        <v>158</v>
      </c>
      <c r="D21" s="1" t="s">
        <v>192</v>
      </c>
      <c r="E21" s="1" t="s">
        <v>168</v>
      </c>
      <c r="F21" s="1" t="s">
        <v>150</v>
      </c>
      <c r="G21" s="1" t="b">
        <v>1</v>
      </c>
    </row>
    <row r="22" spans="2:7" x14ac:dyDescent="0.3">
      <c r="B22" s="1" t="s">
        <v>193</v>
      </c>
      <c r="C22" s="1" t="s">
        <v>189</v>
      </c>
      <c r="D22" s="1" t="s">
        <v>190</v>
      </c>
      <c r="E22" s="1" t="s">
        <v>168</v>
      </c>
      <c r="F22" s="1" t="s">
        <v>150</v>
      </c>
      <c r="G22" s="1" t="b">
        <v>1</v>
      </c>
    </row>
    <row r="23" spans="2:7" x14ac:dyDescent="0.3">
      <c r="B23" s="1" t="s">
        <v>194</v>
      </c>
      <c r="C23" s="1" t="s">
        <v>143</v>
      </c>
      <c r="D23" s="1" t="s">
        <v>195</v>
      </c>
      <c r="E23" s="1" t="s">
        <v>168</v>
      </c>
      <c r="F23" s="1" t="s">
        <v>150</v>
      </c>
      <c r="G23" s="1" t="b">
        <v>1</v>
      </c>
    </row>
    <row r="24" spans="2:7" x14ac:dyDescent="0.3">
      <c r="B24" s="1" t="s">
        <v>196</v>
      </c>
      <c r="C24" s="1" t="s">
        <v>158</v>
      </c>
      <c r="D24" s="1" t="s">
        <v>192</v>
      </c>
      <c r="E24" s="1" t="s">
        <v>145</v>
      </c>
      <c r="F24" s="1" t="s">
        <v>150</v>
      </c>
      <c r="G24" s="1" t="b">
        <v>1</v>
      </c>
    </row>
    <row r="25" spans="2:7" x14ac:dyDescent="0.3">
      <c r="B25" s="1" t="s">
        <v>197</v>
      </c>
      <c r="C25" s="1" t="s">
        <v>198</v>
      </c>
      <c r="D25" s="1" t="s">
        <v>199</v>
      </c>
      <c r="E25" s="1" t="s">
        <v>145</v>
      </c>
      <c r="F25" s="1" t="s">
        <v>146</v>
      </c>
      <c r="G25" s="1" t="b">
        <v>0</v>
      </c>
    </row>
    <row r="26" spans="2:7" x14ac:dyDescent="0.3">
      <c r="B26" s="1" t="s">
        <v>200</v>
      </c>
      <c r="C26" s="1" t="s">
        <v>201</v>
      </c>
      <c r="D26" s="1" t="s">
        <v>202</v>
      </c>
      <c r="E26" s="1" t="s">
        <v>145</v>
      </c>
      <c r="F26" s="1" t="s">
        <v>146</v>
      </c>
      <c r="G26" s="1" t="b">
        <v>0</v>
      </c>
    </row>
    <row r="27" spans="2:7" x14ac:dyDescent="0.3">
      <c r="B27" s="1" t="s">
        <v>203</v>
      </c>
      <c r="C27" s="1" t="s">
        <v>158</v>
      </c>
      <c r="D27" s="1" t="s">
        <v>178</v>
      </c>
      <c r="E27" s="1" t="s">
        <v>145</v>
      </c>
      <c r="F27" s="1" t="s">
        <v>150</v>
      </c>
      <c r="G27" s="1" t="b">
        <v>1</v>
      </c>
    </row>
    <row r="28" spans="2:7" x14ac:dyDescent="0.3">
      <c r="B28" s="1" t="s">
        <v>11</v>
      </c>
      <c r="C28" s="1" t="s">
        <v>204</v>
      </c>
      <c r="D28" s="1" t="s">
        <v>205</v>
      </c>
      <c r="E28" s="1" t="s">
        <v>153</v>
      </c>
      <c r="F28" s="1" t="s">
        <v>146</v>
      </c>
      <c r="G28" s="1" t="b">
        <v>0</v>
      </c>
    </row>
    <row r="29" spans="2:7" x14ac:dyDescent="0.3">
      <c r="B29" s="1" t="s">
        <v>206</v>
      </c>
      <c r="C29" s="1" t="s">
        <v>158</v>
      </c>
      <c r="D29" s="1" t="s">
        <v>192</v>
      </c>
      <c r="E29" s="1" t="s">
        <v>145</v>
      </c>
      <c r="F29" s="1" t="s">
        <v>150</v>
      </c>
      <c r="G29" s="1" t="b">
        <v>1</v>
      </c>
    </row>
    <row r="30" spans="2:7" x14ac:dyDescent="0.3">
      <c r="B30" s="1" t="s">
        <v>207</v>
      </c>
      <c r="C30" s="1" t="s">
        <v>170</v>
      </c>
      <c r="D30" s="1" t="s">
        <v>171</v>
      </c>
      <c r="E30" s="1" t="s">
        <v>168</v>
      </c>
      <c r="F30" s="1" t="s">
        <v>146</v>
      </c>
      <c r="G30" s="1" t="b">
        <v>0</v>
      </c>
    </row>
    <row r="31" spans="2:7" x14ac:dyDescent="0.3">
      <c r="B31" s="1" t="s">
        <v>208</v>
      </c>
      <c r="C31" s="1" t="s">
        <v>161</v>
      </c>
      <c r="D31" s="1" t="s">
        <v>209</v>
      </c>
      <c r="E31" s="1" t="s">
        <v>145</v>
      </c>
      <c r="F31" s="1" t="s">
        <v>150</v>
      </c>
      <c r="G31" s="1" t="b">
        <v>1</v>
      </c>
    </row>
    <row r="32" spans="2:7" x14ac:dyDescent="0.3">
      <c r="B32" s="1" t="s">
        <v>210</v>
      </c>
      <c r="C32" s="1" t="s">
        <v>158</v>
      </c>
      <c r="D32" s="1" t="s">
        <v>178</v>
      </c>
      <c r="E32" s="1" t="s">
        <v>145</v>
      </c>
      <c r="F32" s="1" t="s">
        <v>150</v>
      </c>
      <c r="G32" s="1" t="b">
        <v>1</v>
      </c>
    </row>
    <row r="33" spans="2:7" x14ac:dyDescent="0.3">
      <c r="B33" s="1" t="s">
        <v>211</v>
      </c>
      <c r="C33" s="1" t="s">
        <v>212</v>
      </c>
      <c r="D33" s="1" t="s">
        <v>213</v>
      </c>
      <c r="E33" s="1" t="s">
        <v>168</v>
      </c>
      <c r="F33" s="1" t="s">
        <v>150</v>
      </c>
      <c r="G33" s="1" t="b">
        <v>1</v>
      </c>
    </row>
    <row r="34" spans="2:7" x14ac:dyDescent="0.3">
      <c r="B34" s="1" t="s">
        <v>214</v>
      </c>
      <c r="C34" s="1" t="s">
        <v>215</v>
      </c>
      <c r="D34" s="1" t="s">
        <v>216</v>
      </c>
      <c r="E34" s="1" t="s">
        <v>165</v>
      </c>
      <c r="F34" s="1" t="s">
        <v>150</v>
      </c>
      <c r="G34" s="1" t="b">
        <v>1</v>
      </c>
    </row>
    <row r="35" spans="2:7" x14ac:dyDescent="0.3">
      <c r="B35" s="1" t="s">
        <v>217</v>
      </c>
      <c r="C35" s="1" t="s">
        <v>170</v>
      </c>
      <c r="D35" s="1" t="s">
        <v>171</v>
      </c>
      <c r="E35" s="1" t="s">
        <v>153</v>
      </c>
      <c r="F35" s="1" t="s">
        <v>146</v>
      </c>
      <c r="G35" s="1" t="b">
        <v>0</v>
      </c>
    </row>
    <row r="36" spans="2:7" x14ac:dyDescent="0.3">
      <c r="B36" s="1" t="s">
        <v>218</v>
      </c>
      <c r="C36" s="1" t="s">
        <v>219</v>
      </c>
      <c r="D36" s="1" t="s">
        <v>220</v>
      </c>
      <c r="E36" s="1" t="s">
        <v>153</v>
      </c>
      <c r="F36" s="1" t="s">
        <v>150</v>
      </c>
      <c r="G36" s="1" t="b">
        <v>1</v>
      </c>
    </row>
    <row r="37" spans="2:7" x14ac:dyDescent="0.3">
      <c r="B37" s="1" t="s">
        <v>221</v>
      </c>
      <c r="C37" s="1" t="s">
        <v>222</v>
      </c>
      <c r="D37" s="1" t="s">
        <v>223</v>
      </c>
      <c r="E37" s="1" t="s">
        <v>168</v>
      </c>
      <c r="F37" s="1" t="s">
        <v>150</v>
      </c>
      <c r="G37" s="1" t="b">
        <v>1</v>
      </c>
    </row>
    <row r="38" spans="2:7" x14ac:dyDescent="0.3">
      <c r="B38" s="1" t="s">
        <v>224</v>
      </c>
      <c r="C38" s="1" t="s">
        <v>170</v>
      </c>
      <c r="D38" s="1" t="s">
        <v>225</v>
      </c>
      <c r="E38" s="1" t="s">
        <v>168</v>
      </c>
      <c r="F38" s="1" t="s">
        <v>146</v>
      </c>
      <c r="G38" s="1" t="b">
        <v>0</v>
      </c>
    </row>
    <row r="39" spans="2:7" x14ac:dyDescent="0.3">
      <c r="B39" s="1" t="s">
        <v>226</v>
      </c>
      <c r="C39" s="1" t="s">
        <v>227</v>
      </c>
      <c r="D39" s="1" t="s">
        <v>228</v>
      </c>
      <c r="E39" s="1" t="s">
        <v>153</v>
      </c>
      <c r="F39" s="1" t="s">
        <v>150</v>
      </c>
      <c r="G39" s="1" t="b">
        <v>1</v>
      </c>
    </row>
    <row r="40" spans="2:7" x14ac:dyDescent="0.3">
      <c r="B40" s="1" t="s">
        <v>229</v>
      </c>
      <c r="C40" s="1" t="s">
        <v>148</v>
      </c>
      <c r="D40" s="1" t="s">
        <v>230</v>
      </c>
      <c r="E40" s="1" t="s">
        <v>145</v>
      </c>
      <c r="F40" s="1" t="s">
        <v>150</v>
      </c>
      <c r="G40" s="1" t="b">
        <v>1</v>
      </c>
    </row>
    <row r="41" spans="2:7" x14ac:dyDescent="0.3">
      <c r="B41" s="1" t="s">
        <v>231</v>
      </c>
      <c r="C41" s="1" t="s">
        <v>189</v>
      </c>
      <c r="D41" s="1" t="s">
        <v>232</v>
      </c>
      <c r="E41" s="1" t="s">
        <v>145</v>
      </c>
      <c r="F41" s="1" t="s">
        <v>150</v>
      </c>
      <c r="G41" s="1" t="b">
        <v>1</v>
      </c>
    </row>
    <row r="42" spans="2:7" x14ac:dyDescent="0.3">
      <c r="B42" s="1" t="s">
        <v>233</v>
      </c>
      <c r="C42" s="1" t="s">
        <v>143</v>
      </c>
      <c r="D42" s="1" t="s">
        <v>152</v>
      </c>
      <c r="E42" s="1" t="s">
        <v>153</v>
      </c>
      <c r="F42" s="1" t="s">
        <v>146</v>
      </c>
      <c r="G42" s="1" t="b">
        <v>0</v>
      </c>
    </row>
    <row r="43" spans="2:7" x14ac:dyDescent="0.3">
      <c r="B43" s="1" t="s">
        <v>234</v>
      </c>
      <c r="C43" s="1" t="s">
        <v>204</v>
      </c>
      <c r="D43" s="1" t="s">
        <v>235</v>
      </c>
      <c r="E43" s="1" t="s">
        <v>153</v>
      </c>
      <c r="F43" s="1" t="s">
        <v>184</v>
      </c>
      <c r="G43" s="1" t="b">
        <v>1</v>
      </c>
    </row>
    <row r="44" spans="2:7" x14ac:dyDescent="0.3">
      <c r="B44" s="1" t="s">
        <v>236</v>
      </c>
      <c r="C44" s="1" t="s">
        <v>212</v>
      </c>
      <c r="D44" s="1" t="s">
        <v>213</v>
      </c>
      <c r="E44" s="1" t="s">
        <v>168</v>
      </c>
      <c r="F44" s="1" t="s">
        <v>150</v>
      </c>
      <c r="G44" s="1" t="b">
        <v>1</v>
      </c>
    </row>
    <row r="45" spans="2:7" x14ac:dyDescent="0.3">
      <c r="B45" s="1" t="s">
        <v>237</v>
      </c>
      <c r="C45" s="1" t="s">
        <v>238</v>
      </c>
      <c r="D45" s="1" t="s">
        <v>239</v>
      </c>
      <c r="E45" s="1" t="s">
        <v>145</v>
      </c>
      <c r="F45" s="1" t="s">
        <v>150</v>
      </c>
      <c r="G45" s="1" t="b">
        <v>1</v>
      </c>
    </row>
    <row r="46" spans="2:7" x14ac:dyDescent="0.3">
      <c r="B46" s="1" t="s">
        <v>240</v>
      </c>
      <c r="C46" s="1" t="s">
        <v>158</v>
      </c>
      <c r="D46" s="1" t="s">
        <v>192</v>
      </c>
      <c r="E46" s="1" t="s">
        <v>153</v>
      </c>
      <c r="F46" s="1" t="s">
        <v>150</v>
      </c>
      <c r="G46" s="1" t="b">
        <v>1</v>
      </c>
    </row>
    <row r="47" spans="2:7" x14ac:dyDescent="0.3">
      <c r="B47" s="1" t="s">
        <v>241</v>
      </c>
      <c r="C47" s="1" t="s">
        <v>242</v>
      </c>
      <c r="D47" s="1" t="s">
        <v>243</v>
      </c>
      <c r="E47" s="1" t="s">
        <v>145</v>
      </c>
      <c r="F47" s="1" t="s">
        <v>150</v>
      </c>
      <c r="G47" s="1" t="b">
        <v>1</v>
      </c>
    </row>
    <row r="48" spans="2:7" x14ac:dyDescent="0.3">
      <c r="B48" s="1" t="s">
        <v>244</v>
      </c>
      <c r="C48" s="1" t="s">
        <v>161</v>
      </c>
      <c r="D48" s="1" t="s">
        <v>245</v>
      </c>
      <c r="E48" s="1" t="s">
        <v>145</v>
      </c>
      <c r="F48" s="1" t="s">
        <v>146</v>
      </c>
      <c r="G48" s="1" t="b">
        <v>0</v>
      </c>
    </row>
    <row r="49" spans="2:7" x14ac:dyDescent="0.3">
      <c r="B49" s="1" t="s">
        <v>246</v>
      </c>
      <c r="C49" s="1" t="s">
        <v>170</v>
      </c>
      <c r="D49" s="1" t="s">
        <v>171</v>
      </c>
      <c r="E49" s="1" t="s">
        <v>168</v>
      </c>
      <c r="F49" s="1" t="s">
        <v>146</v>
      </c>
      <c r="G49" s="1" t="b">
        <v>0</v>
      </c>
    </row>
    <row r="50" spans="2:7" x14ac:dyDescent="0.3">
      <c r="B50" s="1" t="s">
        <v>247</v>
      </c>
      <c r="C50" s="1" t="s">
        <v>158</v>
      </c>
      <c r="D50" s="1" t="s">
        <v>159</v>
      </c>
      <c r="E50" s="1" t="s">
        <v>145</v>
      </c>
      <c r="F50" s="1" t="s">
        <v>150</v>
      </c>
      <c r="G50" s="1" t="b">
        <v>1</v>
      </c>
    </row>
    <row r="51" spans="2:7" x14ac:dyDescent="0.3">
      <c r="B51" s="1" t="s">
        <v>248</v>
      </c>
      <c r="C51" s="1" t="s">
        <v>158</v>
      </c>
      <c r="D51" s="1" t="s">
        <v>249</v>
      </c>
      <c r="E51" s="1" t="s">
        <v>145</v>
      </c>
      <c r="F51" s="1" t="s">
        <v>150</v>
      </c>
      <c r="G51" s="1" t="b">
        <v>1</v>
      </c>
    </row>
    <row r="52" spans="2:7" x14ac:dyDescent="0.3">
      <c r="B52" s="1" t="s">
        <v>250</v>
      </c>
      <c r="C52" s="1" t="s">
        <v>251</v>
      </c>
      <c r="D52" s="1" t="s">
        <v>252</v>
      </c>
      <c r="E52" s="1" t="s">
        <v>145</v>
      </c>
      <c r="F52" s="1" t="s">
        <v>150</v>
      </c>
      <c r="G52" s="1" t="b">
        <v>1</v>
      </c>
    </row>
    <row r="53" spans="2:7" x14ac:dyDescent="0.3">
      <c r="B53" s="1" t="s">
        <v>253</v>
      </c>
      <c r="C53" s="1" t="s">
        <v>212</v>
      </c>
      <c r="D53" s="1" t="s">
        <v>254</v>
      </c>
      <c r="E53" s="1" t="s">
        <v>168</v>
      </c>
      <c r="F53" s="1" t="s">
        <v>184</v>
      </c>
      <c r="G53" s="1" t="b">
        <v>1</v>
      </c>
    </row>
    <row r="54" spans="2:7" x14ac:dyDescent="0.3">
      <c r="B54" s="1" t="s">
        <v>255</v>
      </c>
      <c r="C54" s="1" t="s">
        <v>158</v>
      </c>
      <c r="D54" s="1" t="s">
        <v>256</v>
      </c>
      <c r="E54" s="1" t="s">
        <v>145</v>
      </c>
      <c r="F54" s="1" t="s">
        <v>150</v>
      </c>
      <c r="G54" s="1" t="b">
        <v>1</v>
      </c>
    </row>
    <row r="55" spans="2:7" x14ac:dyDescent="0.3">
      <c r="B55" s="1" t="s">
        <v>257</v>
      </c>
      <c r="C55" s="1" t="s">
        <v>158</v>
      </c>
      <c r="D55" s="1" t="s">
        <v>192</v>
      </c>
      <c r="E55" s="1" t="s">
        <v>165</v>
      </c>
      <c r="F55" s="1" t="s">
        <v>150</v>
      </c>
      <c r="G55" s="1" t="b">
        <v>1</v>
      </c>
    </row>
    <row r="56" spans="2:7" x14ac:dyDescent="0.3">
      <c r="B56" s="1" t="s">
        <v>258</v>
      </c>
      <c r="C56" s="1" t="s">
        <v>143</v>
      </c>
      <c r="D56" s="1" t="s">
        <v>259</v>
      </c>
      <c r="E56" s="1" t="s">
        <v>168</v>
      </c>
      <c r="F56" s="1" t="s">
        <v>150</v>
      </c>
      <c r="G56" s="1" t="b">
        <v>1</v>
      </c>
    </row>
    <row r="57" spans="2:7" x14ac:dyDescent="0.3">
      <c r="B57" s="1" t="s">
        <v>260</v>
      </c>
      <c r="C57" s="1" t="s">
        <v>148</v>
      </c>
      <c r="D57" s="1" t="s">
        <v>261</v>
      </c>
      <c r="E57" s="1" t="s">
        <v>168</v>
      </c>
      <c r="F57" s="1" t="s">
        <v>150</v>
      </c>
      <c r="G57" s="1" t="b">
        <v>1</v>
      </c>
    </row>
    <row r="58" spans="2:7" x14ac:dyDescent="0.3">
      <c r="B58" s="1" t="s">
        <v>262</v>
      </c>
      <c r="C58" s="1" t="s">
        <v>227</v>
      </c>
      <c r="D58" s="1" t="s">
        <v>228</v>
      </c>
      <c r="E58" s="1" t="s">
        <v>145</v>
      </c>
      <c r="F58" s="1" t="s">
        <v>150</v>
      </c>
      <c r="G58" s="1" t="b">
        <v>1</v>
      </c>
    </row>
    <row r="59" spans="2:7" x14ac:dyDescent="0.3">
      <c r="B59" s="1" t="s">
        <v>263</v>
      </c>
      <c r="C59" s="1" t="s">
        <v>264</v>
      </c>
      <c r="D59" s="1" t="s">
        <v>265</v>
      </c>
      <c r="E59" s="1" t="s">
        <v>145</v>
      </c>
      <c r="F59" s="1" t="s">
        <v>150</v>
      </c>
      <c r="G59" s="1" t="b">
        <v>1</v>
      </c>
    </row>
    <row r="60" spans="2:7" x14ac:dyDescent="0.3">
      <c r="B60" s="1" t="s">
        <v>266</v>
      </c>
      <c r="C60" s="1" t="s">
        <v>215</v>
      </c>
      <c r="D60" s="1" t="s">
        <v>267</v>
      </c>
      <c r="E60" s="1" t="s">
        <v>153</v>
      </c>
      <c r="F60" s="1" t="s">
        <v>150</v>
      </c>
      <c r="G60" s="1" t="b">
        <v>1</v>
      </c>
    </row>
    <row r="61" spans="2:7" x14ac:dyDescent="0.3">
      <c r="B61" s="1" t="s">
        <v>268</v>
      </c>
      <c r="C61" s="1" t="s">
        <v>269</v>
      </c>
      <c r="D61" s="1" t="s">
        <v>270</v>
      </c>
      <c r="E61" s="1" t="s">
        <v>168</v>
      </c>
      <c r="F61" s="1" t="s">
        <v>146</v>
      </c>
      <c r="G61" s="1" t="b">
        <v>0</v>
      </c>
    </row>
    <row r="62" spans="2:7" x14ac:dyDescent="0.3">
      <c r="B62" s="1" t="s">
        <v>271</v>
      </c>
      <c r="C62" s="1" t="s">
        <v>143</v>
      </c>
      <c r="D62" s="1" t="s">
        <v>152</v>
      </c>
      <c r="E62" s="1" t="s">
        <v>168</v>
      </c>
      <c r="F62" s="1" t="s">
        <v>146</v>
      </c>
      <c r="G62" s="1" t="b">
        <v>0</v>
      </c>
    </row>
    <row r="63" spans="2:7" x14ac:dyDescent="0.3">
      <c r="B63" s="1" t="s">
        <v>272</v>
      </c>
      <c r="C63" s="1" t="s">
        <v>219</v>
      </c>
      <c r="D63" s="1" t="s">
        <v>273</v>
      </c>
      <c r="E63" s="1" t="s">
        <v>145</v>
      </c>
      <c r="F63" s="1" t="s">
        <v>150</v>
      </c>
      <c r="G63" s="1" t="b">
        <v>1</v>
      </c>
    </row>
    <row r="64" spans="2:7" x14ac:dyDescent="0.3">
      <c r="B64" s="1" t="s">
        <v>274</v>
      </c>
      <c r="C64" s="1" t="s">
        <v>275</v>
      </c>
      <c r="D64" s="1" t="s">
        <v>276</v>
      </c>
      <c r="E64" s="1" t="s">
        <v>153</v>
      </c>
      <c r="F64" s="1" t="s">
        <v>146</v>
      </c>
      <c r="G64" s="1" t="b">
        <v>0</v>
      </c>
    </row>
    <row r="65" spans="2:7" x14ac:dyDescent="0.3">
      <c r="B65" s="1" t="s">
        <v>277</v>
      </c>
      <c r="C65" s="1" t="s">
        <v>189</v>
      </c>
      <c r="D65" s="1" t="s">
        <v>190</v>
      </c>
      <c r="E65" s="1" t="s">
        <v>145</v>
      </c>
      <c r="F65" s="1" t="s">
        <v>150</v>
      </c>
      <c r="G65" s="1" t="b">
        <v>1</v>
      </c>
    </row>
    <row r="66" spans="2:7" x14ac:dyDescent="0.3">
      <c r="B66" s="1" t="s">
        <v>278</v>
      </c>
      <c r="C66" s="1" t="s">
        <v>212</v>
      </c>
      <c r="D66" s="1" t="s">
        <v>213</v>
      </c>
      <c r="E66" s="1" t="s">
        <v>168</v>
      </c>
      <c r="F66" s="1" t="s">
        <v>150</v>
      </c>
      <c r="G66" s="1" t="b">
        <v>1</v>
      </c>
    </row>
    <row r="67" spans="2:7" x14ac:dyDescent="0.3">
      <c r="B67" s="1" t="s">
        <v>279</v>
      </c>
      <c r="C67" s="1" t="s">
        <v>280</v>
      </c>
      <c r="D67" s="1" t="s">
        <v>281</v>
      </c>
      <c r="E67" s="1" t="s">
        <v>153</v>
      </c>
      <c r="F67" s="1" t="s">
        <v>146</v>
      </c>
      <c r="G67" s="1" t="b">
        <v>0</v>
      </c>
    </row>
    <row r="68" spans="2:7" x14ac:dyDescent="0.3">
      <c r="B68" s="1" t="s">
        <v>282</v>
      </c>
      <c r="C68" s="1" t="s">
        <v>283</v>
      </c>
      <c r="D68" s="1" t="s">
        <v>284</v>
      </c>
      <c r="E68" s="1" t="s">
        <v>153</v>
      </c>
      <c r="F68" s="1" t="s">
        <v>146</v>
      </c>
      <c r="G68" s="1" t="b">
        <v>0</v>
      </c>
    </row>
    <row r="69" spans="2:7" x14ac:dyDescent="0.3">
      <c r="B69" s="1" t="s">
        <v>285</v>
      </c>
      <c r="C69" s="1" t="s">
        <v>212</v>
      </c>
      <c r="D69" s="1" t="s">
        <v>286</v>
      </c>
      <c r="E69" s="1" t="s">
        <v>168</v>
      </c>
      <c r="F69" s="1" t="s">
        <v>150</v>
      </c>
      <c r="G69" s="1" t="b">
        <v>1</v>
      </c>
    </row>
    <row r="70" spans="2:7" x14ac:dyDescent="0.3">
      <c r="B70" s="1" t="s">
        <v>287</v>
      </c>
      <c r="C70" s="1" t="s">
        <v>189</v>
      </c>
      <c r="D70" s="1" t="s">
        <v>288</v>
      </c>
      <c r="E70" s="1" t="s">
        <v>145</v>
      </c>
      <c r="F70" s="1" t="s">
        <v>146</v>
      </c>
      <c r="G70" s="1" t="b">
        <v>0</v>
      </c>
    </row>
    <row r="71" spans="2:7" x14ac:dyDescent="0.3">
      <c r="B71" s="1" t="s">
        <v>289</v>
      </c>
      <c r="C71" s="1" t="s">
        <v>269</v>
      </c>
      <c r="D71" s="1" t="s">
        <v>270</v>
      </c>
      <c r="E71" s="1" t="s">
        <v>168</v>
      </c>
      <c r="F71" s="1" t="s">
        <v>184</v>
      </c>
      <c r="G71" s="1" t="b">
        <v>1</v>
      </c>
    </row>
    <row r="72" spans="2:7" x14ac:dyDescent="0.3">
      <c r="B72" s="1" t="s">
        <v>290</v>
      </c>
      <c r="C72" s="1" t="s">
        <v>212</v>
      </c>
      <c r="D72" s="1" t="s">
        <v>213</v>
      </c>
      <c r="E72" s="1" t="s">
        <v>145</v>
      </c>
      <c r="F72" s="1" t="s">
        <v>150</v>
      </c>
      <c r="G72" s="1" t="b">
        <v>1</v>
      </c>
    </row>
    <row r="73" spans="2:7" x14ac:dyDescent="0.3">
      <c r="B73" s="1" t="s">
        <v>291</v>
      </c>
      <c r="C73" s="1" t="s">
        <v>204</v>
      </c>
      <c r="D73" s="1" t="s">
        <v>292</v>
      </c>
      <c r="E73" s="1" t="s">
        <v>145</v>
      </c>
      <c r="F73" s="1" t="s">
        <v>150</v>
      </c>
      <c r="G73" s="1" t="b">
        <v>1</v>
      </c>
    </row>
    <row r="74" spans="2:7" x14ac:dyDescent="0.3">
      <c r="B74" s="1" t="s">
        <v>293</v>
      </c>
      <c r="C74" s="1" t="s">
        <v>212</v>
      </c>
      <c r="D74" s="1" t="s">
        <v>294</v>
      </c>
      <c r="E74" s="1" t="s">
        <v>153</v>
      </c>
      <c r="F74" s="1" t="s">
        <v>150</v>
      </c>
      <c r="G74" s="1" t="b">
        <v>1</v>
      </c>
    </row>
    <row r="75" spans="2:7" x14ac:dyDescent="0.3">
      <c r="B75" s="1" t="s">
        <v>295</v>
      </c>
      <c r="C75" s="1" t="s">
        <v>204</v>
      </c>
      <c r="D75" s="1" t="s">
        <v>296</v>
      </c>
      <c r="E75" s="1" t="s">
        <v>145</v>
      </c>
      <c r="F75" s="1" t="s">
        <v>146</v>
      </c>
      <c r="G75" s="1" t="b">
        <v>0</v>
      </c>
    </row>
    <row r="76" spans="2:7" x14ac:dyDescent="0.3">
      <c r="B76" s="1" t="s">
        <v>297</v>
      </c>
      <c r="C76" s="1" t="s">
        <v>158</v>
      </c>
      <c r="D76" s="1" t="s">
        <v>298</v>
      </c>
      <c r="E76" s="1" t="s">
        <v>168</v>
      </c>
      <c r="F76" s="1" t="s">
        <v>150</v>
      </c>
      <c r="G76" s="1" t="b">
        <v>1</v>
      </c>
    </row>
    <row r="77" spans="2:7" x14ac:dyDescent="0.3">
      <c r="B77" s="1" t="s">
        <v>299</v>
      </c>
      <c r="C77" s="1" t="s">
        <v>158</v>
      </c>
      <c r="D77" s="1" t="s">
        <v>192</v>
      </c>
      <c r="E77" s="1" t="s">
        <v>145</v>
      </c>
      <c r="F77" s="1" t="s">
        <v>150</v>
      </c>
      <c r="G77" s="1" t="b">
        <v>1</v>
      </c>
    </row>
    <row r="78" spans="2:7" x14ac:dyDescent="0.3">
      <c r="B78" s="1" t="s">
        <v>300</v>
      </c>
      <c r="C78" s="1" t="s">
        <v>158</v>
      </c>
      <c r="D78" s="1" t="s">
        <v>178</v>
      </c>
      <c r="E78" s="1" t="s">
        <v>153</v>
      </c>
      <c r="F78" s="1" t="s">
        <v>150</v>
      </c>
      <c r="G78" s="1" t="b">
        <v>1</v>
      </c>
    </row>
    <row r="79" spans="2:7" x14ac:dyDescent="0.3">
      <c r="B79" s="1" t="s">
        <v>301</v>
      </c>
      <c r="C79" s="1" t="s">
        <v>215</v>
      </c>
      <c r="D79" s="1" t="s">
        <v>302</v>
      </c>
      <c r="E79" s="1" t="s">
        <v>153</v>
      </c>
      <c r="F79" s="1" t="s">
        <v>146</v>
      </c>
      <c r="G79" s="1" t="b">
        <v>0</v>
      </c>
    </row>
    <row r="80" spans="2:7" x14ac:dyDescent="0.3">
      <c r="B80" s="1" t="s">
        <v>303</v>
      </c>
      <c r="C80" s="1" t="s">
        <v>204</v>
      </c>
      <c r="D80" s="1" t="s">
        <v>304</v>
      </c>
      <c r="E80" s="1" t="s">
        <v>145</v>
      </c>
      <c r="F80" s="1" t="s">
        <v>146</v>
      </c>
      <c r="G80" s="1" t="b">
        <v>0</v>
      </c>
    </row>
    <row r="81" spans="2:7" x14ac:dyDescent="0.3">
      <c r="B81" s="1" t="s">
        <v>305</v>
      </c>
      <c r="C81" s="1" t="s">
        <v>306</v>
      </c>
      <c r="D81" s="1" t="s">
        <v>307</v>
      </c>
      <c r="E81" s="1" t="s">
        <v>153</v>
      </c>
      <c r="F81" s="1" t="s">
        <v>146</v>
      </c>
      <c r="G81" s="1" t="b">
        <v>0</v>
      </c>
    </row>
    <row r="82" spans="2:7" x14ac:dyDescent="0.3">
      <c r="B82" s="1" t="s">
        <v>308</v>
      </c>
      <c r="C82" s="1" t="s">
        <v>158</v>
      </c>
      <c r="D82" s="1" t="s">
        <v>192</v>
      </c>
      <c r="E82" s="1" t="s">
        <v>145</v>
      </c>
      <c r="F82" s="1" t="s">
        <v>150</v>
      </c>
      <c r="G82" s="1" t="b">
        <v>1</v>
      </c>
    </row>
    <row r="83" spans="2:7" x14ac:dyDescent="0.3">
      <c r="B83" s="1" t="s">
        <v>309</v>
      </c>
      <c r="C83" s="1" t="s">
        <v>222</v>
      </c>
      <c r="D83" s="1" t="s">
        <v>310</v>
      </c>
      <c r="E83" s="1" t="s">
        <v>145</v>
      </c>
      <c r="F83" s="1" t="s">
        <v>150</v>
      </c>
      <c r="G83" s="1" t="b">
        <v>1</v>
      </c>
    </row>
    <row r="84" spans="2:7" x14ac:dyDescent="0.3">
      <c r="B84" s="1" t="s">
        <v>311</v>
      </c>
      <c r="C84" s="1" t="s">
        <v>215</v>
      </c>
      <c r="D84" s="1" t="s">
        <v>267</v>
      </c>
      <c r="E84" s="1" t="s">
        <v>153</v>
      </c>
      <c r="F84" s="1" t="s">
        <v>150</v>
      </c>
      <c r="G84" s="1" t="b">
        <v>1</v>
      </c>
    </row>
    <row r="85" spans="2:7" x14ac:dyDescent="0.3">
      <c r="B85" s="1" t="s">
        <v>312</v>
      </c>
      <c r="C85" s="1" t="s">
        <v>215</v>
      </c>
      <c r="D85" s="1" t="s">
        <v>216</v>
      </c>
      <c r="E85" s="1" t="s">
        <v>165</v>
      </c>
      <c r="F85" s="1" t="s">
        <v>150</v>
      </c>
      <c r="G85" s="1" t="b">
        <v>1</v>
      </c>
    </row>
    <row r="86" spans="2:7" x14ac:dyDescent="0.3">
      <c r="B86" s="1" t="s">
        <v>313</v>
      </c>
      <c r="C86" s="1" t="s">
        <v>170</v>
      </c>
      <c r="D86" s="1" t="s">
        <v>314</v>
      </c>
      <c r="E86" s="1" t="s">
        <v>168</v>
      </c>
      <c r="F86" s="1" t="s">
        <v>146</v>
      </c>
      <c r="G86" s="1" t="b">
        <v>0</v>
      </c>
    </row>
    <row r="87" spans="2:7" x14ac:dyDescent="0.3">
      <c r="B87" s="1" t="s">
        <v>315</v>
      </c>
      <c r="C87" s="1" t="s">
        <v>170</v>
      </c>
      <c r="D87" s="1" t="s">
        <v>171</v>
      </c>
      <c r="E87" s="1" t="s">
        <v>168</v>
      </c>
      <c r="F87" s="1" t="s">
        <v>146</v>
      </c>
      <c r="G87" s="1" t="b">
        <v>0</v>
      </c>
    </row>
    <row r="88" spans="2:7" x14ac:dyDescent="0.3">
      <c r="B88" s="1" t="s">
        <v>316</v>
      </c>
      <c r="C88" s="1" t="s">
        <v>148</v>
      </c>
      <c r="D88" s="1" t="s">
        <v>261</v>
      </c>
      <c r="E88" s="1" t="s">
        <v>168</v>
      </c>
      <c r="F88" s="1" t="s">
        <v>150</v>
      </c>
      <c r="G88" s="1" t="b">
        <v>1</v>
      </c>
    </row>
    <row r="89" spans="2:7" x14ac:dyDescent="0.3">
      <c r="B89" s="1" t="s">
        <v>317</v>
      </c>
      <c r="C89" s="1" t="s">
        <v>318</v>
      </c>
      <c r="D89" s="1" t="s">
        <v>319</v>
      </c>
      <c r="E89" s="1" t="s">
        <v>153</v>
      </c>
      <c r="F89" s="1" t="s">
        <v>150</v>
      </c>
      <c r="G89" s="1" t="b">
        <v>1</v>
      </c>
    </row>
    <row r="90" spans="2:7" x14ac:dyDescent="0.3">
      <c r="B90" s="1" t="s">
        <v>320</v>
      </c>
      <c r="C90" s="1" t="s">
        <v>148</v>
      </c>
      <c r="D90" s="1" t="s">
        <v>321</v>
      </c>
      <c r="E90" s="1" t="s">
        <v>168</v>
      </c>
      <c r="F90" s="1" t="s">
        <v>146</v>
      </c>
      <c r="G90" s="1" t="b">
        <v>0</v>
      </c>
    </row>
    <row r="91" spans="2:7" x14ac:dyDescent="0.3">
      <c r="B91" s="1" t="s">
        <v>322</v>
      </c>
      <c r="C91" s="1" t="s">
        <v>158</v>
      </c>
      <c r="D91" s="1" t="s">
        <v>323</v>
      </c>
      <c r="E91" s="1" t="s">
        <v>168</v>
      </c>
      <c r="F91" s="1" t="s">
        <v>150</v>
      </c>
      <c r="G91" s="1" t="b">
        <v>1</v>
      </c>
    </row>
    <row r="92" spans="2:7" x14ac:dyDescent="0.3">
      <c r="B92" s="1" t="s">
        <v>324</v>
      </c>
      <c r="C92" s="1" t="s">
        <v>158</v>
      </c>
      <c r="D92" s="1" t="s">
        <v>325</v>
      </c>
      <c r="E92" s="1" t="s">
        <v>145</v>
      </c>
      <c r="F92" s="1" t="s">
        <v>150</v>
      </c>
      <c r="G92" s="1" t="b">
        <v>1</v>
      </c>
    </row>
    <row r="93" spans="2:7" x14ac:dyDescent="0.3">
      <c r="B93" s="1" t="s">
        <v>326</v>
      </c>
      <c r="C93" s="1" t="s">
        <v>158</v>
      </c>
      <c r="D93" s="1" t="s">
        <v>192</v>
      </c>
      <c r="E93" s="1" t="s">
        <v>153</v>
      </c>
      <c r="F93" s="1" t="s">
        <v>150</v>
      </c>
      <c r="G93" s="1" t="b">
        <v>1</v>
      </c>
    </row>
    <row r="94" spans="2:7" x14ac:dyDescent="0.3">
      <c r="B94" s="1" t="s">
        <v>327</v>
      </c>
      <c r="C94" s="1" t="s">
        <v>158</v>
      </c>
      <c r="D94" s="1" t="s">
        <v>328</v>
      </c>
      <c r="E94" s="1" t="s">
        <v>153</v>
      </c>
      <c r="F94" s="1" t="s">
        <v>146</v>
      </c>
      <c r="G94" s="1" t="b">
        <v>0</v>
      </c>
    </row>
    <row r="95" spans="2:7" x14ac:dyDescent="0.3">
      <c r="B95" s="1" t="s">
        <v>329</v>
      </c>
      <c r="C95" s="1" t="s">
        <v>215</v>
      </c>
      <c r="D95" s="1" t="s">
        <v>330</v>
      </c>
      <c r="E95" s="1" t="s">
        <v>153</v>
      </c>
      <c r="F95" s="1" t="s">
        <v>146</v>
      </c>
      <c r="G95" s="1" t="b">
        <v>0</v>
      </c>
    </row>
    <row r="96" spans="2:7" x14ac:dyDescent="0.3">
      <c r="B96" s="1" t="s">
        <v>331</v>
      </c>
      <c r="C96" s="1" t="s">
        <v>332</v>
      </c>
      <c r="D96" s="1" t="s">
        <v>333</v>
      </c>
      <c r="E96" s="1" t="s">
        <v>145</v>
      </c>
      <c r="F96" s="1" t="s">
        <v>150</v>
      </c>
      <c r="G96" s="1" t="b">
        <v>1</v>
      </c>
    </row>
    <row r="97" spans="2:7" x14ac:dyDescent="0.3">
      <c r="B97" s="1" t="s">
        <v>334</v>
      </c>
      <c r="C97" s="1" t="s">
        <v>335</v>
      </c>
      <c r="D97" s="1" t="s">
        <v>336</v>
      </c>
      <c r="E97" s="1" t="s">
        <v>145</v>
      </c>
      <c r="F97" s="1" t="s">
        <v>146</v>
      </c>
      <c r="G97" s="1" t="b">
        <v>0</v>
      </c>
    </row>
    <row r="98" spans="2:7" x14ac:dyDescent="0.3">
      <c r="B98" s="1" t="s">
        <v>337</v>
      </c>
      <c r="C98" s="1" t="s">
        <v>176</v>
      </c>
      <c r="D98" s="1" t="s">
        <v>338</v>
      </c>
      <c r="E98" s="1" t="s">
        <v>145</v>
      </c>
      <c r="F98" s="1" t="s">
        <v>146</v>
      </c>
      <c r="G98" s="1" t="b">
        <v>0</v>
      </c>
    </row>
    <row r="99" spans="2:7" x14ac:dyDescent="0.3">
      <c r="B99" s="1" t="s">
        <v>339</v>
      </c>
      <c r="C99" s="1" t="s">
        <v>158</v>
      </c>
      <c r="D99" s="1" t="s">
        <v>298</v>
      </c>
      <c r="E99" s="1" t="s">
        <v>168</v>
      </c>
      <c r="F99" s="1" t="s">
        <v>150</v>
      </c>
      <c r="G99" s="1" t="b">
        <v>1</v>
      </c>
    </row>
    <row r="100" spans="2:7" x14ac:dyDescent="0.3">
      <c r="B100" s="1" t="s">
        <v>340</v>
      </c>
      <c r="C100" s="1" t="s">
        <v>158</v>
      </c>
      <c r="D100" s="1" t="s">
        <v>167</v>
      </c>
      <c r="E100" s="1" t="s">
        <v>165</v>
      </c>
      <c r="F100" s="1" t="s">
        <v>150</v>
      </c>
      <c r="G100" s="1" t="b">
        <v>1</v>
      </c>
    </row>
    <row r="101" spans="2:7" x14ac:dyDescent="0.3">
      <c r="B101" s="1" t="s">
        <v>341</v>
      </c>
      <c r="C101" s="1" t="s">
        <v>342</v>
      </c>
      <c r="D101" s="1" t="s">
        <v>343</v>
      </c>
      <c r="E101" s="1" t="s">
        <v>153</v>
      </c>
      <c r="F101" s="1" t="s">
        <v>150</v>
      </c>
      <c r="G101" s="1" t="b">
        <v>1</v>
      </c>
    </row>
    <row r="102" spans="2:7" x14ac:dyDescent="0.3">
      <c r="B102" s="1" t="s">
        <v>344</v>
      </c>
      <c r="C102" s="1" t="s">
        <v>143</v>
      </c>
      <c r="D102" s="1" t="s">
        <v>152</v>
      </c>
      <c r="E102" s="1" t="s">
        <v>153</v>
      </c>
      <c r="F102" s="1" t="s">
        <v>146</v>
      </c>
      <c r="G102" s="1" t="b">
        <v>0</v>
      </c>
    </row>
    <row r="103" spans="2:7" x14ac:dyDescent="0.3">
      <c r="B103" s="1" t="s">
        <v>345</v>
      </c>
      <c r="C103" s="1" t="s">
        <v>161</v>
      </c>
      <c r="D103" s="1" t="s">
        <v>164</v>
      </c>
      <c r="E103" s="1" t="s">
        <v>153</v>
      </c>
      <c r="F103" s="1" t="s">
        <v>146</v>
      </c>
      <c r="G103" s="1" t="b">
        <v>0</v>
      </c>
    </row>
    <row r="104" spans="2:7" x14ac:dyDescent="0.3">
      <c r="B104" s="1" t="s">
        <v>346</v>
      </c>
      <c r="C104" s="1" t="s">
        <v>212</v>
      </c>
      <c r="D104" s="1" t="s">
        <v>347</v>
      </c>
      <c r="E104" s="1" t="s">
        <v>153</v>
      </c>
      <c r="F104" s="1" t="s">
        <v>184</v>
      </c>
      <c r="G104" s="1" t="b">
        <v>1</v>
      </c>
    </row>
    <row r="105" spans="2:7" x14ac:dyDescent="0.3">
      <c r="B105" s="1" t="s">
        <v>348</v>
      </c>
      <c r="C105" s="1" t="s">
        <v>283</v>
      </c>
      <c r="D105" s="1" t="s">
        <v>349</v>
      </c>
      <c r="E105" s="1" t="s">
        <v>145</v>
      </c>
      <c r="F105" s="1" t="s">
        <v>150</v>
      </c>
      <c r="G105" s="1" t="b">
        <v>1</v>
      </c>
    </row>
    <row r="106" spans="2:7" x14ac:dyDescent="0.3">
      <c r="B106" s="1" t="s">
        <v>350</v>
      </c>
      <c r="C106" s="1" t="s">
        <v>143</v>
      </c>
      <c r="D106" s="1" t="s">
        <v>152</v>
      </c>
      <c r="E106" s="1" t="s">
        <v>168</v>
      </c>
      <c r="F106" s="1" t="s">
        <v>146</v>
      </c>
      <c r="G106" s="1" t="b">
        <v>0</v>
      </c>
    </row>
    <row r="107" spans="2:7" x14ac:dyDescent="0.3">
      <c r="B107" s="1" t="s">
        <v>351</v>
      </c>
      <c r="C107" s="1" t="s">
        <v>352</v>
      </c>
      <c r="D107" s="1" t="s">
        <v>353</v>
      </c>
      <c r="E107" s="1" t="s">
        <v>153</v>
      </c>
      <c r="F107" s="1" t="s">
        <v>150</v>
      </c>
      <c r="G107" s="1" t="b">
        <v>1</v>
      </c>
    </row>
    <row r="108" spans="2:7" x14ac:dyDescent="0.3">
      <c r="B108" s="1" t="s">
        <v>354</v>
      </c>
      <c r="C108" s="1" t="s">
        <v>148</v>
      </c>
      <c r="D108" s="1" t="s">
        <v>230</v>
      </c>
      <c r="E108" s="1" t="s">
        <v>153</v>
      </c>
      <c r="F108" s="1" t="s">
        <v>150</v>
      </c>
      <c r="G108" s="1" t="b">
        <v>1</v>
      </c>
    </row>
    <row r="109" spans="2:7" x14ac:dyDescent="0.3">
      <c r="B109" s="1" t="s">
        <v>355</v>
      </c>
      <c r="C109" s="1" t="s">
        <v>356</v>
      </c>
      <c r="D109" s="1" t="s">
        <v>357</v>
      </c>
      <c r="E109" s="1" t="s">
        <v>168</v>
      </c>
      <c r="F109" s="1" t="s">
        <v>150</v>
      </c>
      <c r="G109" s="1" t="b">
        <v>1</v>
      </c>
    </row>
    <row r="110" spans="2:7" x14ac:dyDescent="0.3">
      <c r="B110" s="1" t="s">
        <v>358</v>
      </c>
      <c r="C110" s="1" t="s">
        <v>212</v>
      </c>
      <c r="D110" s="1" t="s">
        <v>294</v>
      </c>
      <c r="E110" s="1" t="s">
        <v>168</v>
      </c>
      <c r="F110" s="1" t="s">
        <v>184</v>
      </c>
      <c r="G110" s="1" t="b">
        <v>1</v>
      </c>
    </row>
    <row r="111" spans="2:7" x14ac:dyDescent="0.3">
      <c r="B111" s="1" t="s">
        <v>359</v>
      </c>
      <c r="C111" s="1" t="s">
        <v>360</v>
      </c>
      <c r="D111" s="1" t="s">
        <v>256</v>
      </c>
      <c r="E111" s="1" t="s">
        <v>145</v>
      </c>
      <c r="F111" s="1" t="s">
        <v>150</v>
      </c>
      <c r="G111" s="1" t="b">
        <v>1</v>
      </c>
    </row>
    <row r="112" spans="2:7" x14ac:dyDescent="0.3">
      <c r="B112" s="1" t="s">
        <v>361</v>
      </c>
      <c r="C112" s="1" t="s">
        <v>362</v>
      </c>
      <c r="D112" s="1" t="s">
        <v>363</v>
      </c>
      <c r="E112" s="1" t="s">
        <v>153</v>
      </c>
      <c r="F112" s="1" t="s">
        <v>146</v>
      </c>
      <c r="G112" s="1" t="b">
        <v>0</v>
      </c>
    </row>
    <row r="113" spans="2:7" x14ac:dyDescent="0.3">
      <c r="B113" s="1" t="s">
        <v>364</v>
      </c>
      <c r="C113" s="1" t="s">
        <v>198</v>
      </c>
      <c r="D113" s="1" t="s">
        <v>365</v>
      </c>
      <c r="E113" s="1" t="s">
        <v>145</v>
      </c>
      <c r="F113" s="1" t="s">
        <v>150</v>
      </c>
      <c r="G113" s="1" t="b">
        <v>1</v>
      </c>
    </row>
    <row r="114" spans="2:7" x14ac:dyDescent="0.3">
      <c r="B114" s="1" t="s">
        <v>366</v>
      </c>
      <c r="C114" s="1" t="s">
        <v>148</v>
      </c>
      <c r="D114" s="1" t="s">
        <v>367</v>
      </c>
      <c r="E114" s="1" t="s">
        <v>168</v>
      </c>
      <c r="F114" s="1" t="s">
        <v>150</v>
      </c>
      <c r="G114" s="1" t="b">
        <v>1</v>
      </c>
    </row>
    <row r="115" spans="2:7" x14ac:dyDescent="0.3">
      <c r="B115" s="1" t="s">
        <v>368</v>
      </c>
      <c r="C115" s="1" t="s">
        <v>362</v>
      </c>
      <c r="D115" s="1" t="s">
        <v>369</v>
      </c>
      <c r="E115" s="1" t="s">
        <v>153</v>
      </c>
      <c r="F115" s="1" t="s">
        <v>146</v>
      </c>
      <c r="G115" s="1" t="b">
        <v>0</v>
      </c>
    </row>
    <row r="116" spans="2:7" x14ac:dyDescent="0.3">
      <c r="B116" s="1" t="s">
        <v>370</v>
      </c>
      <c r="C116" s="1" t="s">
        <v>371</v>
      </c>
      <c r="D116" s="1" t="s">
        <v>372</v>
      </c>
      <c r="E116" s="1" t="s">
        <v>145</v>
      </c>
      <c r="F116" s="1" t="s">
        <v>146</v>
      </c>
      <c r="G116" s="1" t="b">
        <v>0</v>
      </c>
    </row>
    <row r="117" spans="2:7" x14ac:dyDescent="0.3">
      <c r="B117" s="1" t="s">
        <v>373</v>
      </c>
      <c r="C117" s="1" t="s">
        <v>143</v>
      </c>
      <c r="D117" s="1" t="s">
        <v>259</v>
      </c>
      <c r="E117" s="1" t="s">
        <v>153</v>
      </c>
      <c r="F117" s="1" t="s">
        <v>150</v>
      </c>
      <c r="G117" s="1" t="b">
        <v>1</v>
      </c>
    </row>
    <row r="118" spans="2:7" x14ac:dyDescent="0.3">
      <c r="B118" s="1" t="s">
        <v>374</v>
      </c>
      <c r="C118" s="1" t="s">
        <v>158</v>
      </c>
      <c r="D118" s="1" t="s">
        <v>167</v>
      </c>
      <c r="E118" s="1" t="s">
        <v>153</v>
      </c>
      <c r="F118" s="1" t="s">
        <v>150</v>
      </c>
      <c r="G118" s="1" t="b">
        <v>1</v>
      </c>
    </row>
    <row r="119" spans="2:7" x14ac:dyDescent="0.3">
      <c r="B119" s="1" t="s">
        <v>375</v>
      </c>
      <c r="C119" s="1" t="s">
        <v>222</v>
      </c>
      <c r="D119" s="1" t="s">
        <v>310</v>
      </c>
      <c r="E119" s="1" t="s">
        <v>145</v>
      </c>
      <c r="F119" s="1" t="s">
        <v>150</v>
      </c>
      <c r="G119" s="1" t="b">
        <v>1</v>
      </c>
    </row>
    <row r="120" spans="2:7" x14ac:dyDescent="0.3">
      <c r="B120" s="1" t="s">
        <v>376</v>
      </c>
      <c r="C120" s="1" t="s">
        <v>158</v>
      </c>
      <c r="D120" s="1" t="s">
        <v>178</v>
      </c>
      <c r="E120" s="1" t="s">
        <v>145</v>
      </c>
      <c r="F120" s="1" t="s">
        <v>150</v>
      </c>
      <c r="G120" s="1" t="b">
        <v>1</v>
      </c>
    </row>
    <row r="121" spans="2:7" x14ac:dyDescent="0.3">
      <c r="B121" s="1" t="s">
        <v>377</v>
      </c>
      <c r="C121" s="1" t="s">
        <v>201</v>
      </c>
      <c r="D121" s="1" t="s">
        <v>378</v>
      </c>
      <c r="E121" s="1" t="s">
        <v>153</v>
      </c>
      <c r="F121" s="1" t="s">
        <v>150</v>
      </c>
      <c r="G121" s="1" t="b">
        <v>1</v>
      </c>
    </row>
    <row r="122" spans="2:7" x14ac:dyDescent="0.3">
      <c r="B122" s="1" t="s">
        <v>379</v>
      </c>
      <c r="C122" s="1" t="s">
        <v>148</v>
      </c>
      <c r="D122" s="1" t="s">
        <v>380</v>
      </c>
      <c r="E122" s="1" t="s">
        <v>153</v>
      </c>
      <c r="F122" s="1" t="s">
        <v>146</v>
      </c>
      <c r="G122" s="1" t="b">
        <v>0</v>
      </c>
    </row>
    <row r="123" spans="2:7" x14ac:dyDescent="0.3">
      <c r="B123" s="1" t="s">
        <v>381</v>
      </c>
      <c r="C123" s="1" t="s">
        <v>158</v>
      </c>
      <c r="D123" s="1" t="s">
        <v>382</v>
      </c>
      <c r="E123" s="1" t="s">
        <v>153</v>
      </c>
      <c r="F123" s="1" t="s">
        <v>150</v>
      </c>
      <c r="G123" s="1" t="b">
        <v>1</v>
      </c>
    </row>
    <row r="124" spans="2:7" x14ac:dyDescent="0.3">
      <c r="B124" s="1" t="s">
        <v>383</v>
      </c>
      <c r="C124" s="1" t="s">
        <v>170</v>
      </c>
      <c r="D124" s="1" t="s">
        <v>384</v>
      </c>
      <c r="E124" s="1" t="s">
        <v>145</v>
      </c>
      <c r="F124" s="1" t="s">
        <v>184</v>
      </c>
      <c r="G124" s="1" t="b">
        <v>1</v>
      </c>
    </row>
    <row r="125" spans="2:7" x14ac:dyDescent="0.3">
      <c r="B125" s="1" t="s">
        <v>385</v>
      </c>
      <c r="C125" s="1" t="s">
        <v>170</v>
      </c>
      <c r="D125" s="1" t="s">
        <v>171</v>
      </c>
      <c r="E125" s="1" t="s">
        <v>168</v>
      </c>
      <c r="F125" s="1" t="s">
        <v>146</v>
      </c>
      <c r="G125" s="1" t="b">
        <v>0</v>
      </c>
    </row>
    <row r="126" spans="2:7" x14ac:dyDescent="0.3">
      <c r="B126" s="1" t="s">
        <v>386</v>
      </c>
      <c r="C126" s="1" t="s">
        <v>189</v>
      </c>
      <c r="D126" s="1" t="s">
        <v>387</v>
      </c>
      <c r="E126" s="1" t="s">
        <v>153</v>
      </c>
      <c r="F126" s="1" t="s">
        <v>150</v>
      </c>
      <c r="G126" s="1" t="b">
        <v>1</v>
      </c>
    </row>
    <row r="127" spans="2:7" x14ac:dyDescent="0.3">
      <c r="B127" s="1" t="s">
        <v>388</v>
      </c>
      <c r="C127" s="1" t="s">
        <v>222</v>
      </c>
      <c r="D127" s="1" t="s">
        <v>310</v>
      </c>
      <c r="E127" s="1" t="s">
        <v>153</v>
      </c>
      <c r="F127" s="1" t="s">
        <v>150</v>
      </c>
      <c r="G127" s="1" t="b">
        <v>1</v>
      </c>
    </row>
    <row r="128" spans="2:7" x14ac:dyDescent="0.3">
      <c r="B128" s="1" t="s">
        <v>389</v>
      </c>
      <c r="C128" s="1" t="s">
        <v>170</v>
      </c>
      <c r="D128" s="1" t="s">
        <v>171</v>
      </c>
      <c r="E128" s="1" t="s">
        <v>153</v>
      </c>
      <c r="F128" s="1" t="s">
        <v>146</v>
      </c>
      <c r="G128" s="1" t="b">
        <v>0</v>
      </c>
    </row>
    <row r="129" spans="2:7" x14ac:dyDescent="0.3">
      <c r="B129" s="1" t="s">
        <v>390</v>
      </c>
      <c r="C129" s="1" t="s">
        <v>148</v>
      </c>
      <c r="D129" s="1" t="s">
        <v>391</v>
      </c>
      <c r="E129" s="1" t="s">
        <v>145</v>
      </c>
      <c r="F129" s="1" t="s">
        <v>150</v>
      </c>
      <c r="G129" s="1" t="b">
        <v>1</v>
      </c>
    </row>
    <row r="130" spans="2:7" x14ac:dyDescent="0.3">
      <c r="B130" s="1" t="s">
        <v>392</v>
      </c>
      <c r="C130" s="1" t="s">
        <v>332</v>
      </c>
      <c r="D130" s="1" t="s">
        <v>393</v>
      </c>
      <c r="E130" s="1" t="s">
        <v>145</v>
      </c>
      <c r="F130" s="1" t="s">
        <v>150</v>
      </c>
      <c r="G130" s="1" t="b">
        <v>1</v>
      </c>
    </row>
    <row r="131" spans="2:7" x14ac:dyDescent="0.3">
      <c r="B131" s="1" t="s">
        <v>394</v>
      </c>
      <c r="C131" s="1" t="s">
        <v>222</v>
      </c>
      <c r="D131" s="1" t="s">
        <v>395</v>
      </c>
      <c r="E131" s="1" t="s">
        <v>168</v>
      </c>
      <c r="F131" s="1" t="s">
        <v>150</v>
      </c>
      <c r="G131" s="1" t="b">
        <v>1</v>
      </c>
    </row>
    <row r="132" spans="2:7" x14ac:dyDescent="0.3">
      <c r="B132" s="1" t="s">
        <v>396</v>
      </c>
      <c r="C132" s="1" t="s">
        <v>227</v>
      </c>
      <c r="D132" s="1" t="s">
        <v>397</v>
      </c>
      <c r="E132" s="1" t="s">
        <v>145</v>
      </c>
      <c r="F132" s="1" t="s">
        <v>150</v>
      </c>
      <c r="G132" s="1" t="b">
        <v>1</v>
      </c>
    </row>
    <row r="133" spans="2:7" x14ac:dyDescent="0.3">
      <c r="B133" s="1" t="s">
        <v>398</v>
      </c>
      <c r="C133" s="1" t="s">
        <v>212</v>
      </c>
      <c r="D133" s="1" t="s">
        <v>213</v>
      </c>
      <c r="E133" s="1" t="s">
        <v>145</v>
      </c>
      <c r="F133" s="1" t="s">
        <v>150</v>
      </c>
      <c r="G133" s="1" t="b">
        <v>1</v>
      </c>
    </row>
    <row r="134" spans="2:7" x14ac:dyDescent="0.3">
      <c r="B134" s="1" t="s">
        <v>399</v>
      </c>
      <c r="C134" s="1" t="s">
        <v>212</v>
      </c>
      <c r="D134" s="1" t="s">
        <v>213</v>
      </c>
      <c r="E134" s="1" t="s">
        <v>145</v>
      </c>
      <c r="F134" s="1" t="s">
        <v>150</v>
      </c>
      <c r="G134" s="1" t="b">
        <v>1</v>
      </c>
    </row>
    <row r="135" spans="2:7" x14ac:dyDescent="0.3">
      <c r="B135" s="1" t="s">
        <v>400</v>
      </c>
      <c r="C135" s="1" t="s">
        <v>158</v>
      </c>
      <c r="D135" s="1" t="s">
        <v>159</v>
      </c>
      <c r="E135" s="1" t="s">
        <v>145</v>
      </c>
      <c r="F135" s="1" t="s">
        <v>150</v>
      </c>
      <c r="G135" s="1" t="b">
        <v>1</v>
      </c>
    </row>
    <row r="136" spans="2:7" x14ac:dyDescent="0.3">
      <c r="B136" s="1" t="s">
        <v>401</v>
      </c>
      <c r="C136" s="1" t="s">
        <v>143</v>
      </c>
      <c r="D136" s="1" t="s">
        <v>259</v>
      </c>
      <c r="E136" s="1" t="s">
        <v>145</v>
      </c>
      <c r="F136" s="1" t="s">
        <v>150</v>
      </c>
      <c r="G136" s="1" t="b">
        <v>1</v>
      </c>
    </row>
    <row r="137" spans="2:7" x14ac:dyDescent="0.3">
      <c r="B137" s="1" t="s">
        <v>402</v>
      </c>
      <c r="C137" s="1" t="s">
        <v>158</v>
      </c>
      <c r="D137" s="1" t="s">
        <v>403</v>
      </c>
      <c r="E137" s="1" t="s">
        <v>145</v>
      </c>
      <c r="F137" s="1" t="s">
        <v>150</v>
      </c>
      <c r="G137" s="1" t="b">
        <v>1</v>
      </c>
    </row>
    <row r="138" spans="2:7" x14ac:dyDescent="0.3">
      <c r="B138" s="1" t="s">
        <v>404</v>
      </c>
      <c r="C138" s="1" t="s">
        <v>342</v>
      </c>
      <c r="D138" s="1" t="s">
        <v>343</v>
      </c>
      <c r="E138" s="1" t="s">
        <v>153</v>
      </c>
      <c r="F138" s="1" t="s">
        <v>150</v>
      </c>
      <c r="G138" s="1" t="b">
        <v>1</v>
      </c>
    </row>
    <row r="139" spans="2:7" x14ac:dyDescent="0.3">
      <c r="B139" s="1" t="s">
        <v>405</v>
      </c>
      <c r="C139" s="1" t="s">
        <v>186</v>
      </c>
      <c r="D139" s="1" t="s">
        <v>406</v>
      </c>
      <c r="E139" s="1" t="s">
        <v>145</v>
      </c>
      <c r="F139" s="1" t="s">
        <v>150</v>
      </c>
      <c r="G139" s="1" t="b">
        <v>1</v>
      </c>
    </row>
    <row r="140" spans="2:7" x14ac:dyDescent="0.3">
      <c r="B140" s="1" t="s">
        <v>500</v>
      </c>
      <c r="C140" s="1" t="s">
        <v>189</v>
      </c>
      <c r="D140" s="1" t="s">
        <v>501</v>
      </c>
      <c r="E140" s="1" t="s">
        <v>168</v>
      </c>
      <c r="F140" s="1" t="s">
        <v>184</v>
      </c>
      <c r="G140" s="1" t="b">
        <v>1</v>
      </c>
    </row>
    <row r="141" spans="2:7" x14ac:dyDescent="0.3">
      <c r="B141" s="1" t="s">
        <v>407</v>
      </c>
      <c r="C141" s="1" t="s">
        <v>269</v>
      </c>
      <c r="D141" s="1" t="s">
        <v>408</v>
      </c>
      <c r="E141" s="1" t="s">
        <v>153</v>
      </c>
      <c r="F141" s="1" t="s">
        <v>146</v>
      </c>
      <c r="G141" s="1" t="b">
        <v>0</v>
      </c>
    </row>
    <row r="142" spans="2:7" x14ac:dyDescent="0.3">
      <c r="B142" s="1" t="s">
        <v>409</v>
      </c>
      <c r="C142" s="1" t="s">
        <v>410</v>
      </c>
      <c r="D142" s="1" t="s">
        <v>411</v>
      </c>
      <c r="E142" s="1" t="s">
        <v>145</v>
      </c>
      <c r="F142" s="1" t="s">
        <v>146</v>
      </c>
      <c r="G142" s="1" t="b">
        <v>0</v>
      </c>
    </row>
    <row r="143" spans="2:7" x14ac:dyDescent="0.3">
      <c r="B143" s="1" t="s">
        <v>412</v>
      </c>
      <c r="C143" s="1" t="s">
        <v>342</v>
      </c>
      <c r="D143" s="1" t="s">
        <v>413</v>
      </c>
      <c r="E143" s="1" t="s">
        <v>153</v>
      </c>
      <c r="F143" s="1" t="s">
        <v>146</v>
      </c>
      <c r="G143" s="1" t="b">
        <v>0</v>
      </c>
    </row>
    <row r="144" spans="2:7" x14ac:dyDescent="0.3">
      <c r="B144" s="1" t="s">
        <v>414</v>
      </c>
      <c r="C144" s="1" t="s">
        <v>158</v>
      </c>
      <c r="D144" s="1" t="s">
        <v>192</v>
      </c>
      <c r="E144" s="1" t="s">
        <v>145</v>
      </c>
      <c r="F144" s="1" t="s">
        <v>150</v>
      </c>
      <c r="G144" s="1" t="b">
        <v>1</v>
      </c>
    </row>
    <row r="145" spans="2:7" x14ac:dyDescent="0.3">
      <c r="B145" s="1" t="s">
        <v>415</v>
      </c>
      <c r="C145" s="1" t="s">
        <v>416</v>
      </c>
      <c r="D145" s="1" t="s">
        <v>417</v>
      </c>
      <c r="E145" s="1" t="s">
        <v>153</v>
      </c>
      <c r="F145" s="1" t="s">
        <v>146</v>
      </c>
      <c r="G145" s="1" t="b">
        <v>0</v>
      </c>
    </row>
    <row r="146" spans="2:7" x14ac:dyDescent="0.3">
      <c r="B146" s="1" t="s">
        <v>418</v>
      </c>
      <c r="C146" s="1" t="s">
        <v>419</v>
      </c>
      <c r="D146" s="1" t="s">
        <v>420</v>
      </c>
      <c r="E146" s="1" t="s">
        <v>145</v>
      </c>
      <c r="F146" s="1" t="s">
        <v>146</v>
      </c>
      <c r="G146" s="1" t="b">
        <v>0</v>
      </c>
    </row>
    <row r="147" spans="2:7" x14ac:dyDescent="0.3">
      <c r="B147" s="1" t="s">
        <v>421</v>
      </c>
      <c r="C147" s="1" t="s">
        <v>222</v>
      </c>
      <c r="D147" s="1" t="s">
        <v>395</v>
      </c>
      <c r="E147" s="1" t="s">
        <v>145</v>
      </c>
      <c r="F147" s="1" t="s">
        <v>150</v>
      </c>
      <c r="G147" s="1" t="b">
        <v>1</v>
      </c>
    </row>
    <row r="148" spans="2:7" x14ac:dyDescent="0.3">
      <c r="B148" s="1" t="s">
        <v>422</v>
      </c>
      <c r="C148" s="1" t="s">
        <v>158</v>
      </c>
      <c r="D148" s="1" t="s">
        <v>159</v>
      </c>
      <c r="E148" s="1" t="s">
        <v>168</v>
      </c>
      <c r="F148" s="1" t="s">
        <v>150</v>
      </c>
      <c r="G148" s="1" t="b">
        <v>1</v>
      </c>
    </row>
    <row r="149" spans="2:7" x14ac:dyDescent="0.3">
      <c r="B149" s="1" t="s">
        <v>423</v>
      </c>
      <c r="C149" s="1" t="s">
        <v>158</v>
      </c>
      <c r="D149" s="1" t="s">
        <v>256</v>
      </c>
      <c r="E149" s="1" t="s">
        <v>145</v>
      </c>
      <c r="F149" s="1" t="s">
        <v>184</v>
      </c>
      <c r="G149" s="1" t="b">
        <v>1</v>
      </c>
    </row>
    <row r="150" spans="2:7" x14ac:dyDescent="0.3">
      <c r="B150" s="1" t="s">
        <v>424</v>
      </c>
      <c r="C150" s="1" t="s">
        <v>158</v>
      </c>
      <c r="D150" s="1" t="s">
        <v>425</v>
      </c>
      <c r="E150" s="1" t="s">
        <v>145</v>
      </c>
      <c r="F150" s="1" t="s">
        <v>150</v>
      </c>
      <c r="G150" s="1" t="b">
        <v>1</v>
      </c>
    </row>
    <row r="151" spans="2:7" x14ac:dyDescent="0.3">
      <c r="B151" s="1" t="s">
        <v>426</v>
      </c>
      <c r="C151" s="1" t="s">
        <v>158</v>
      </c>
      <c r="D151" s="1" t="s">
        <v>427</v>
      </c>
      <c r="E151" s="1" t="s">
        <v>145</v>
      </c>
      <c r="F151" s="1" t="s">
        <v>146</v>
      </c>
      <c r="G151" s="1" t="b">
        <v>0</v>
      </c>
    </row>
    <row r="152" spans="2:7" x14ac:dyDescent="0.3">
      <c r="B152" s="1" t="s">
        <v>428</v>
      </c>
      <c r="C152" s="1" t="s">
        <v>158</v>
      </c>
      <c r="D152" s="1" t="s">
        <v>159</v>
      </c>
      <c r="E152" s="1" t="s">
        <v>168</v>
      </c>
      <c r="F152" s="1" t="s">
        <v>150</v>
      </c>
      <c r="G152" s="1" t="b">
        <v>1</v>
      </c>
    </row>
    <row r="153" spans="2:7" x14ac:dyDescent="0.3">
      <c r="B153" s="1" t="s">
        <v>429</v>
      </c>
      <c r="C153" s="1" t="s">
        <v>158</v>
      </c>
      <c r="D153" s="1" t="s">
        <v>430</v>
      </c>
      <c r="E153" s="1" t="s">
        <v>168</v>
      </c>
      <c r="F153" s="1" t="s">
        <v>150</v>
      </c>
      <c r="G153" s="1" t="b">
        <v>1</v>
      </c>
    </row>
    <row r="154" spans="2:7" x14ac:dyDescent="0.3">
      <c r="B154" s="1" t="s">
        <v>431</v>
      </c>
      <c r="C154" s="1" t="s">
        <v>158</v>
      </c>
      <c r="D154" s="1" t="s">
        <v>425</v>
      </c>
      <c r="E154" s="1" t="s">
        <v>145</v>
      </c>
      <c r="F154" s="1" t="s">
        <v>150</v>
      </c>
      <c r="G154" s="1" t="b">
        <v>1</v>
      </c>
    </row>
    <row r="155" spans="2:7" x14ac:dyDescent="0.3">
      <c r="B155" s="1" t="s">
        <v>432</v>
      </c>
      <c r="C155" s="1" t="s">
        <v>158</v>
      </c>
      <c r="D155" s="1" t="s">
        <v>427</v>
      </c>
      <c r="E155" s="1" t="s">
        <v>145</v>
      </c>
      <c r="F155" s="1" t="s">
        <v>146</v>
      </c>
      <c r="G155" s="1" t="b">
        <v>0</v>
      </c>
    </row>
    <row r="156" spans="2:7" x14ac:dyDescent="0.3">
      <c r="B156" s="1" t="s">
        <v>433</v>
      </c>
      <c r="C156" s="1" t="s">
        <v>158</v>
      </c>
      <c r="D156" s="1" t="s">
        <v>256</v>
      </c>
      <c r="E156" s="1" t="s">
        <v>145</v>
      </c>
      <c r="F156" s="1" t="s">
        <v>150</v>
      </c>
      <c r="G156" s="1" t="b">
        <v>1</v>
      </c>
    </row>
    <row r="157" spans="2:7" x14ac:dyDescent="0.3">
      <c r="B157" s="1" t="s">
        <v>434</v>
      </c>
      <c r="C157" s="1" t="s">
        <v>158</v>
      </c>
      <c r="D157" s="1" t="s">
        <v>192</v>
      </c>
      <c r="E157" s="1" t="s">
        <v>145</v>
      </c>
      <c r="F157" s="1" t="s">
        <v>150</v>
      </c>
      <c r="G157" s="1" t="b">
        <v>1</v>
      </c>
    </row>
    <row r="158" spans="2:7" x14ac:dyDescent="0.3">
      <c r="B158" s="1" t="s">
        <v>435</v>
      </c>
      <c r="C158" s="1" t="s">
        <v>155</v>
      </c>
      <c r="D158" s="1" t="s">
        <v>436</v>
      </c>
      <c r="E158" s="1" t="s">
        <v>165</v>
      </c>
      <c r="F158" s="1" t="s">
        <v>150</v>
      </c>
      <c r="G158" s="1" t="b">
        <v>1</v>
      </c>
    </row>
    <row r="159" spans="2:7" x14ac:dyDescent="0.3">
      <c r="B159" s="1" t="s">
        <v>437</v>
      </c>
      <c r="C159" s="1" t="s">
        <v>215</v>
      </c>
      <c r="D159" s="1" t="s">
        <v>438</v>
      </c>
      <c r="E159" s="1" t="s">
        <v>168</v>
      </c>
      <c r="F159" s="1" t="s">
        <v>150</v>
      </c>
      <c r="G159" s="1" t="b">
        <v>1</v>
      </c>
    </row>
    <row r="160" spans="2:7" x14ac:dyDescent="0.3">
      <c r="B160" s="1" t="s">
        <v>439</v>
      </c>
      <c r="C160" s="1" t="s">
        <v>158</v>
      </c>
      <c r="D160" s="1" t="s">
        <v>440</v>
      </c>
      <c r="E160" s="1" t="s">
        <v>168</v>
      </c>
      <c r="F160" s="1" t="s">
        <v>184</v>
      </c>
      <c r="G160" s="1" t="b">
        <v>1</v>
      </c>
    </row>
    <row r="161" spans="2:7" x14ac:dyDescent="0.3">
      <c r="B161" s="1" t="s">
        <v>441</v>
      </c>
      <c r="C161" s="1" t="s">
        <v>189</v>
      </c>
      <c r="D161" s="1" t="s">
        <v>442</v>
      </c>
      <c r="E161" s="1" t="s">
        <v>168</v>
      </c>
      <c r="F161" s="1" t="s">
        <v>150</v>
      </c>
      <c r="G161" s="1" t="b">
        <v>1</v>
      </c>
    </row>
    <row r="162" spans="2:7" x14ac:dyDescent="0.3">
      <c r="B162" s="1" t="s">
        <v>443</v>
      </c>
      <c r="C162" s="1" t="s">
        <v>148</v>
      </c>
      <c r="D162" s="1" t="s">
        <v>391</v>
      </c>
      <c r="E162" s="1" t="s">
        <v>168</v>
      </c>
      <c r="F162" s="1" t="s">
        <v>150</v>
      </c>
      <c r="G162" s="1" t="b">
        <v>1</v>
      </c>
    </row>
    <row r="163" spans="2:7" x14ac:dyDescent="0.3">
      <c r="B163" s="1" t="s">
        <v>444</v>
      </c>
      <c r="C163" s="1" t="s">
        <v>158</v>
      </c>
      <c r="D163" s="1" t="s">
        <v>192</v>
      </c>
      <c r="E163" s="1" t="s">
        <v>153</v>
      </c>
      <c r="F163" s="1" t="s">
        <v>150</v>
      </c>
      <c r="G163" s="1" t="b">
        <v>1</v>
      </c>
    </row>
    <row r="164" spans="2:7" x14ac:dyDescent="0.3">
      <c r="B164" s="1" t="s">
        <v>445</v>
      </c>
      <c r="C164" s="1" t="s">
        <v>158</v>
      </c>
      <c r="D164" s="1" t="s">
        <v>298</v>
      </c>
      <c r="E164" s="1" t="s">
        <v>168</v>
      </c>
      <c r="F164" s="1" t="s">
        <v>150</v>
      </c>
      <c r="G164" s="1" t="b">
        <v>1</v>
      </c>
    </row>
    <row r="165" spans="2:7" x14ac:dyDescent="0.3">
      <c r="B165" s="1" t="s">
        <v>446</v>
      </c>
      <c r="C165" s="1" t="s">
        <v>447</v>
      </c>
      <c r="D165" s="1" t="s">
        <v>448</v>
      </c>
      <c r="E165" s="1" t="s">
        <v>153</v>
      </c>
      <c r="F165" s="1" t="s">
        <v>146</v>
      </c>
      <c r="G165" s="1" t="b">
        <v>0</v>
      </c>
    </row>
    <row r="166" spans="2:7" x14ac:dyDescent="0.3">
      <c r="B166" s="1" t="s">
        <v>449</v>
      </c>
      <c r="C166" s="1" t="s">
        <v>450</v>
      </c>
      <c r="D166" s="1" t="s">
        <v>451</v>
      </c>
      <c r="E166" s="1" t="s">
        <v>168</v>
      </c>
      <c r="F166" s="1" t="s">
        <v>150</v>
      </c>
      <c r="G166" s="1" t="b">
        <v>1</v>
      </c>
    </row>
    <row r="167" spans="2:7" x14ac:dyDescent="0.3">
      <c r="B167" s="1" t="s">
        <v>452</v>
      </c>
      <c r="C167" s="1" t="s">
        <v>453</v>
      </c>
      <c r="D167" s="1" t="s">
        <v>454</v>
      </c>
      <c r="E167" s="1" t="s">
        <v>153</v>
      </c>
      <c r="F167" s="1" t="s">
        <v>146</v>
      </c>
      <c r="G167" s="1" t="b">
        <v>0</v>
      </c>
    </row>
    <row r="168" spans="2:7" x14ac:dyDescent="0.3">
      <c r="B168" s="1" t="s">
        <v>455</v>
      </c>
      <c r="C168" s="1" t="s">
        <v>143</v>
      </c>
      <c r="D168" s="1" t="s">
        <v>152</v>
      </c>
      <c r="E168" s="1" t="s">
        <v>168</v>
      </c>
      <c r="F168" s="1" t="s">
        <v>146</v>
      </c>
      <c r="G168" s="1" t="b">
        <v>0</v>
      </c>
    </row>
    <row r="169" spans="2:7" x14ac:dyDescent="0.3">
      <c r="B169" s="1" t="s">
        <v>456</v>
      </c>
      <c r="C169" s="1" t="s">
        <v>158</v>
      </c>
      <c r="D169" s="1" t="s">
        <v>256</v>
      </c>
      <c r="E169" s="1" t="s">
        <v>153</v>
      </c>
      <c r="F169" s="1" t="s">
        <v>150</v>
      </c>
      <c r="G169" s="1" t="b">
        <v>1</v>
      </c>
    </row>
    <row r="170" spans="2:7" x14ac:dyDescent="0.3">
      <c r="B170" s="1" t="s">
        <v>457</v>
      </c>
      <c r="C170" s="1" t="s">
        <v>158</v>
      </c>
      <c r="D170" s="1" t="s">
        <v>328</v>
      </c>
      <c r="E170" s="1" t="s">
        <v>153</v>
      </c>
      <c r="F170" s="1" t="s">
        <v>146</v>
      </c>
      <c r="G170" s="1" t="b">
        <v>0</v>
      </c>
    </row>
    <row r="171" spans="2:7" x14ac:dyDescent="0.3">
      <c r="B171" s="1" t="s">
        <v>458</v>
      </c>
      <c r="C171" s="1" t="s">
        <v>161</v>
      </c>
      <c r="D171" s="1" t="s">
        <v>459</v>
      </c>
      <c r="E171" s="1" t="s">
        <v>153</v>
      </c>
      <c r="F171" s="1" t="s">
        <v>150</v>
      </c>
      <c r="G171" s="1" t="b">
        <v>1</v>
      </c>
    </row>
    <row r="172" spans="2:7" x14ac:dyDescent="0.3">
      <c r="B172" s="1" t="s">
        <v>460</v>
      </c>
      <c r="C172" s="1" t="s">
        <v>461</v>
      </c>
      <c r="D172" s="1" t="s">
        <v>462</v>
      </c>
      <c r="E172" s="1" t="s">
        <v>153</v>
      </c>
      <c r="F172" s="1" t="s">
        <v>150</v>
      </c>
      <c r="G172" s="1" t="b">
        <v>1</v>
      </c>
    </row>
    <row r="173" spans="2:7" x14ac:dyDescent="0.3">
      <c r="B173" s="1" t="s">
        <v>463</v>
      </c>
      <c r="C173" s="1" t="s">
        <v>450</v>
      </c>
      <c r="D173" s="1" t="s">
        <v>451</v>
      </c>
      <c r="E173" s="1" t="s">
        <v>153</v>
      </c>
      <c r="F173" s="1" t="s">
        <v>150</v>
      </c>
      <c r="G173" s="1" t="b">
        <v>1</v>
      </c>
    </row>
    <row r="174" spans="2:7" x14ac:dyDescent="0.3">
      <c r="B174" s="1" t="s">
        <v>464</v>
      </c>
      <c r="C174" s="1" t="s">
        <v>215</v>
      </c>
      <c r="D174" s="1" t="s">
        <v>465</v>
      </c>
      <c r="E174" s="1" t="s">
        <v>153</v>
      </c>
      <c r="F174" s="1" t="s">
        <v>150</v>
      </c>
      <c r="G174" s="1" t="b">
        <v>1</v>
      </c>
    </row>
    <row r="175" spans="2:7" x14ac:dyDescent="0.3">
      <c r="B175" s="1" t="s">
        <v>466</v>
      </c>
      <c r="C175" s="1" t="s">
        <v>215</v>
      </c>
      <c r="D175" s="1" t="s">
        <v>467</v>
      </c>
      <c r="E175" s="1" t="s">
        <v>168</v>
      </c>
      <c r="F175" s="1" t="s">
        <v>146</v>
      </c>
      <c r="G175" s="1" t="b">
        <v>0</v>
      </c>
    </row>
    <row r="176" spans="2:7" x14ac:dyDescent="0.3">
      <c r="B176" s="1" t="s">
        <v>468</v>
      </c>
      <c r="C176" s="1" t="s">
        <v>215</v>
      </c>
      <c r="D176" s="1" t="s">
        <v>467</v>
      </c>
      <c r="E176" s="1" t="s">
        <v>168</v>
      </c>
      <c r="F176" s="1" t="s">
        <v>146</v>
      </c>
      <c r="G176" s="1" t="b">
        <v>0</v>
      </c>
    </row>
    <row r="177" spans="2:7" x14ac:dyDescent="0.3">
      <c r="B177" s="1" t="s">
        <v>469</v>
      </c>
      <c r="C177" s="1" t="s">
        <v>148</v>
      </c>
      <c r="D177" s="1" t="s">
        <v>470</v>
      </c>
      <c r="E177" s="1" t="s">
        <v>145</v>
      </c>
      <c r="F177" s="1" t="s">
        <v>150</v>
      </c>
      <c r="G177" s="1" t="b">
        <v>1</v>
      </c>
    </row>
    <row r="178" spans="2:7" x14ac:dyDescent="0.3">
      <c r="B178" s="1" t="s">
        <v>471</v>
      </c>
      <c r="C178" s="1" t="s">
        <v>472</v>
      </c>
      <c r="D178" s="1" t="s">
        <v>473</v>
      </c>
      <c r="E178" s="1" t="s">
        <v>145</v>
      </c>
      <c r="F178" s="1" t="s">
        <v>184</v>
      </c>
      <c r="G178" s="1" t="b">
        <v>1</v>
      </c>
    </row>
    <row r="179" spans="2:7" x14ac:dyDescent="0.3">
      <c r="B179" s="1" t="s">
        <v>474</v>
      </c>
      <c r="C179" s="1" t="s">
        <v>158</v>
      </c>
      <c r="D179" s="1" t="s">
        <v>178</v>
      </c>
      <c r="E179" s="1" t="s">
        <v>153</v>
      </c>
      <c r="F179" s="1" t="s">
        <v>150</v>
      </c>
      <c r="G179" s="1" t="b">
        <v>1</v>
      </c>
    </row>
    <row r="180" spans="2:7" x14ac:dyDescent="0.3">
      <c r="B180" s="1" t="s">
        <v>475</v>
      </c>
      <c r="C180" s="1" t="s">
        <v>161</v>
      </c>
      <c r="D180" s="1" t="s">
        <v>476</v>
      </c>
      <c r="E180" s="1" t="s">
        <v>168</v>
      </c>
      <c r="F180" s="1" t="s">
        <v>150</v>
      </c>
      <c r="G180" s="1" t="b">
        <v>1</v>
      </c>
    </row>
    <row r="181" spans="2:7" x14ac:dyDescent="0.3">
      <c r="B181" s="1" t="s">
        <v>477</v>
      </c>
      <c r="C181" s="1" t="s">
        <v>478</v>
      </c>
      <c r="D181" s="1" t="s">
        <v>479</v>
      </c>
      <c r="E181" s="1" t="s">
        <v>165</v>
      </c>
      <c r="F181" s="1" t="s">
        <v>150</v>
      </c>
      <c r="G181" s="1" t="b">
        <v>1</v>
      </c>
    </row>
    <row r="182" spans="2:7" x14ac:dyDescent="0.3">
      <c r="B182" s="1" t="s">
        <v>480</v>
      </c>
      <c r="C182" s="1" t="s">
        <v>481</v>
      </c>
      <c r="D182" s="1" t="s">
        <v>482</v>
      </c>
      <c r="E182" s="1" t="s">
        <v>153</v>
      </c>
      <c r="F182" s="1" t="s">
        <v>146</v>
      </c>
      <c r="G182" s="1" t="b">
        <v>0</v>
      </c>
    </row>
  </sheetData>
  <conditionalFormatting sqref="B5:G182">
    <cfRule type="expression" dxfId="14" priority="1">
      <formula>($G5=FALSE)</formula>
    </cfRule>
  </conditionalFormatting>
  <dataValidations count="1">
    <dataValidation type="list" allowBlank="1" showInputMessage="1" showErrorMessage="1" sqref="C2" xr:uid="{F3284221-7F7C-45AF-AD09-D39436E9C01B}">
      <formula1>"Jaq,Free,Excel Pro, Excel Guru"</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BE0C4-850B-4796-9B63-6FBFE22B3530}">
  <sheetPr codeName="Sheet2"/>
  <dimension ref="B1:R29"/>
  <sheetViews>
    <sheetView showGridLines="0" zoomScale="85" zoomScaleNormal="85" workbookViewId="0">
      <pane xSplit="4" ySplit="3" topLeftCell="E4" activePane="bottomRight" state="frozen"/>
      <selection activeCell="I13" sqref="I13"/>
      <selection pane="topRight" activeCell="I13" sqref="I13"/>
      <selection pane="bottomLeft" activeCell="I13" sqref="I13"/>
      <selection pane="bottomRight" activeCell="E4" sqref="E4"/>
    </sheetView>
  </sheetViews>
  <sheetFormatPr defaultColWidth="9.23046875" defaultRowHeight="18.75" x14ac:dyDescent="0.3"/>
  <cols>
    <col min="1" max="1" width="2.3046875" style="1" customWidth="1"/>
    <col min="2" max="2" width="3.07421875" style="1" customWidth="1"/>
    <col min="3" max="3" width="32.53515625" style="1" bestFit="1" customWidth="1"/>
    <col min="4" max="4" width="5.921875" style="1" bestFit="1" customWidth="1"/>
    <col min="5" max="5" width="32.53515625" style="1" bestFit="1" customWidth="1"/>
    <col min="6" max="6" width="9.23046875" style="1"/>
    <col min="7" max="7" width="7.07421875" style="1" bestFit="1" customWidth="1"/>
    <col min="8" max="8" width="7.07421875" style="1" customWidth="1"/>
    <col min="9" max="10" width="6.921875" style="1" customWidth="1"/>
    <col min="11" max="11" width="8" style="1" customWidth="1"/>
    <col min="12" max="12" width="9.765625" style="1" bestFit="1" customWidth="1"/>
    <col min="13" max="15" width="9.23046875" style="1"/>
    <col min="16" max="16" width="8.15234375" style="1" customWidth="1"/>
    <col min="17" max="17" width="7.921875" style="1" customWidth="1"/>
    <col min="18" max="16384" width="9.23046875" style="1"/>
  </cols>
  <sheetData>
    <row r="1" spans="2:18" ht="10.5" customHeight="1" x14ac:dyDescent="0.3"/>
    <row r="2" spans="2:18" ht="40.5" customHeight="1" x14ac:dyDescent="0.3">
      <c r="D2" s="1">
        <f ca="1">IFERROR(AVERAGEIFS(_xlfn.ANCHORARRAY(D4),_xlfn.ANCHORARRAY(D4),"&lt;&gt;0"),0)</f>
        <v>0.45999999999999996</v>
      </c>
      <c r="F2" s="1">
        <f>IFERROR(AVERAGEIFS(_xlfn.ANCHORARRAY(F4),_xlfn.ANCHORARRAY(F4),"&lt;&gt;0"),0)</f>
        <v>0.4</v>
      </c>
      <c r="G2" s="2"/>
      <c r="H2" s="2"/>
      <c r="N2" s="3" t="s">
        <v>0</v>
      </c>
      <c r="O2" s="4"/>
      <c r="P2" s="4"/>
      <c r="Q2" s="4"/>
    </row>
    <row r="3" spans="2:18" ht="37.5" x14ac:dyDescent="0.3">
      <c r="C3" s="5" t="s">
        <v>1</v>
      </c>
      <c r="D3" s="5" t="s">
        <v>2</v>
      </c>
      <c r="E3" s="5" t="s">
        <v>3</v>
      </c>
      <c r="F3" s="5" t="s">
        <v>2</v>
      </c>
      <c r="G3" s="5" t="s">
        <v>4</v>
      </c>
      <c r="H3" s="5" t="s">
        <v>5</v>
      </c>
      <c r="I3" s="6" t="s">
        <v>6</v>
      </c>
      <c r="J3" s="6" t="s">
        <v>629</v>
      </c>
      <c r="K3" s="6" t="s">
        <v>7</v>
      </c>
      <c r="L3" s="6" t="s">
        <v>8</v>
      </c>
      <c r="N3" s="5" t="s">
        <v>4</v>
      </c>
      <c r="O3" s="6" t="s">
        <v>6</v>
      </c>
      <c r="P3" s="6" t="s">
        <v>7</v>
      </c>
      <c r="Q3" s="6" t="s">
        <v>8</v>
      </c>
      <c r="R3" s="6" t="s">
        <v>9</v>
      </c>
    </row>
    <row r="4" spans="2:18" x14ac:dyDescent="0.3">
      <c r="B4" s="1" t="str" cm="1">
        <f t="array" ref="B4:B29">Letters()</f>
        <v>A</v>
      </c>
      <c r="C4" s="1" t="str" cm="1">
        <f t="array" aca="1" ref="C4" ca="1">_xlfn.LET(
   _xlpm.games, _xlfn._xlws.FILTER(CaseList[Name], (LEFT(CaseList[Name]) = B4)*(CaseList[Access]=TRUE)),
   _xlpm.count, IF(ISERROR(ROWS(_xlpm.games)), 0, ROWS(_xlpm.games)),
   _xlpm.random, IF(_xlpm.count = 0, "NONE", INDEX(_xlpm.games, RANDBETWEEN(1, _xlpm.count))),
   _xlpm.random
)</f>
        <v>A Licence on a Plate</v>
      </c>
      <c r="D4" s="1" cm="1">
        <f t="array" aca="1" ref="D4:D29" ca="1">(_xlfn.XMATCH(IF((C4:C29="NONE")+(C4:C29=""),"",_xlfn.XLOOKUP(C4:C29,CaseList[Name],CaseList[Difficulty])),{"","Easy","Moderate","Hard","Very Hard"},0)-1)/5</f>
        <v>0.6</v>
      </c>
      <c r="E4" s="1" t="s">
        <v>10</v>
      </c>
      <c r="F4" s="1" cm="1">
        <f t="array" ref="F4:F29">(_xlfn.XMATCH(IF((E4:E29="NONE")+(E4:E29=""),"",_xlfn.XLOOKUP(E4:E29,CaseList[Name],CaseList[Difficulty])),{"","Easy","Moderate","Hard","Very Hard"},0)-1)/5</f>
        <v>0.4</v>
      </c>
      <c r="G4" s="1">
        <v>1000</v>
      </c>
      <c r="H4" s="1">
        <f>20+7/60</f>
        <v>20.116666666666667</v>
      </c>
      <c r="I4" s="1">
        <f>20+7/60</f>
        <v>20.116666666666667</v>
      </c>
      <c r="J4" s="1">
        <v>2</v>
      </c>
      <c r="K4" s="1">
        <f>7+58/60</f>
        <v>7.9666666666666668</v>
      </c>
      <c r="L4" s="1">
        <f>38/60</f>
        <v>0.6333333333333333</v>
      </c>
      <c r="N4" s="1">
        <f t="shared" ref="N4:N5" si="0">IF(G4="",NA(),G4/30)</f>
        <v>33.333333333333336</v>
      </c>
      <c r="O4" s="1">
        <f t="shared" ref="O4:O29" si="1">IFERROR($R4/I4,NA())</f>
        <v>49.710024855012428</v>
      </c>
      <c r="P4" s="1">
        <f t="shared" ref="P4:P29" si="2">IFERROR($R4/K4,NA())</f>
        <v>125.52301255230125</v>
      </c>
      <c r="Q4" s="1">
        <f t="shared" ref="Q4:Q29" si="3">IFERROR($R4/L4,NA())</f>
        <v>1578.9473684210527</v>
      </c>
      <c r="R4" s="1">
        <v>1000</v>
      </c>
    </row>
    <row r="5" spans="2:18" x14ac:dyDescent="0.3">
      <c r="B5" s="1" t="str">
        <v>B</v>
      </c>
      <c r="C5" s="1" t="str" cm="1">
        <f t="array" aca="1" ref="C5" ca="1">_xlfn.LET(
   _xlpm.games, _xlfn._xlws.FILTER(CaseList[Name], (LEFT(CaseList[Name]) = B5)*(CaseList[Access]=TRUE)),
   _xlpm.count, IF(ISERROR(ROWS(_xlpm.games)), 0, ROWS(_xlpm.games)),
   _xlpm.random, IF(_xlpm.count = 0, "NONE", INDEX(_xlpm.games, RANDBETWEEN(1, _xlpm.count))),
   _xlpm.random
)</f>
        <v>Battle Royal</v>
      </c>
      <c r="D5" s="1">
        <f ca="1"/>
        <v>0.4</v>
      </c>
      <c r="E5" s="1" t="s">
        <v>11</v>
      </c>
      <c r="F5" s="1">
        <v>0.6</v>
      </c>
      <c r="G5" s="1">
        <v>404</v>
      </c>
      <c r="H5" s="1">
        <v>30</v>
      </c>
      <c r="I5" s="1">
        <f>71+34/60</f>
        <v>71.566666666666663</v>
      </c>
      <c r="J5" s="1">
        <v>25</v>
      </c>
      <c r="K5" s="1">
        <f>49+12/60</f>
        <v>49.2</v>
      </c>
      <c r="L5" s="1">
        <f>4+7/60</f>
        <v>4.1166666666666663</v>
      </c>
      <c r="N5" s="1">
        <f t="shared" si="0"/>
        <v>13.466666666666667</v>
      </c>
      <c r="O5" s="1">
        <f t="shared" si="1"/>
        <v>17.466231951560317</v>
      </c>
      <c r="P5" s="1">
        <f t="shared" si="2"/>
        <v>25.40650406504065</v>
      </c>
      <c r="Q5" s="1">
        <f t="shared" si="3"/>
        <v>303.64372469635629</v>
      </c>
      <c r="R5" s="1">
        <v>1250</v>
      </c>
    </row>
    <row r="6" spans="2:18" x14ac:dyDescent="0.3">
      <c r="B6" s="1" t="str">
        <v>C</v>
      </c>
      <c r="C6" s="1" t="str" cm="1">
        <f t="array" aca="1" ref="C6" ca="1">_xlfn.LET(
   _xlpm.games, _xlfn._xlws.FILTER(CaseList[Name], (LEFT(CaseList[Name]) = B6)*(CaseList[Access]=TRUE)),
   _xlpm.count, IF(ISERROR(ROWS(_xlpm.games)), 0, ROWS(_xlpm.games)),
   _xlpm.random, IF(_xlpm.count = 0, "NONE", INDEX(_xlpm.games, RANDBETWEEN(1, _xlpm.count))),
   _xlpm.random
)</f>
        <v>Clash On Titan</v>
      </c>
      <c r="D6" s="1">
        <f ca="1"/>
        <v>0.8</v>
      </c>
      <c r="E6" s="1" t="s">
        <v>221</v>
      </c>
      <c r="F6" s="1">
        <v>0.2</v>
      </c>
      <c r="G6" s="1">
        <v>220</v>
      </c>
      <c r="H6" s="1">
        <v>30</v>
      </c>
      <c r="I6" s="1">
        <f>133+16/60</f>
        <v>133.26666666666668</v>
      </c>
      <c r="J6" s="1">
        <v>12</v>
      </c>
      <c r="K6" s="1">
        <f>47+20/60</f>
        <v>47.333333333333336</v>
      </c>
      <c r="L6" s="1">
        <f>3+4/60</f>
        <v>3.0666666666666669</v>
      </c>
      <c r="N6" s="1">
        <f>IF(G6="",NA(),G6/30)</f>
        <v>7.333333333333333</v>
      </c>
      <c r="O6" s="1">
        <f t="shared" si="1"/>
        <v>9.3796898449224599</v>
      </c>
      <c r="P6" s="1">
        <f t="shared" si="2"/>
        <v>26.408450704225352</v>
      </c>
      <c r="Q6" s="1">
        <f t="shared" si="3"/>
        <v>407.60869565217388</v>
      </c>
      <c r="R6" s="1">
        <v>1250</v>
      </c>
    </row>
    <row r="7" spans="2:18" x14ac:dyDescent="0.3">
      <c r="B7" s="1" t="str">
        <v>D</v>
      </c>
      <c r="C7" s="1" t="str" cm="1">
        <f t="array" aca="1" ref="C7" ca="1">_xlfn.LET(
   _xlpm.games, _xlfn._xlws.FILTER(CaseList[Name], (LEFT(CaseList[Name]) = B7)*(CaseList[Access]=TRUE)),
   _xlpm.count, IF(ISERROR(ROWS(_xlpm.games)), 0, ROWS(_xlpm.games)),
   _xlpm.random, IF(_xlpm.count = 0, "NONE", INDEX(_xlpm.games, RANDBETWEEN(1, _xlpm.count))),
   _xlpm.random
)</f>
        <v>Dominate the Dominoes</v>
      </c>
      <c r="D7" s="1">
        <f ca="1"/>
        <v>0.6</v>
      </c>
      <c r="E7" s="1" t="s">
        <v>237</v>
      </c>
      <c r="F7" s="1">
        <v>0.4</v>
      </c>
      <c r="N7" s="1" t="e">
        <f t="shared" ref="N7:N29" si="4">IF(G7="",NA(),G7/30)</f>
        <v>#N/A</v>
      </c>
      <c r="O7" s="1" t="e">
        <f t="shared" si="1"/>
        <v>#N/A</v>
      </c>
      <c r="P7" s="1" t="e">
        <f t="shared" si="2"/>
        <v>#N/A</v>
      </c>
      <c r="Q7" s="1" t="e">
        <f t="shared" si="3"/>
        <v>#N/A</v>
      </c>
      <c r="R7" s="1">
        <v>1250</v>
      </c>
    </row>
    <row r="8" spans="2:18" x14ac:dyDescent="0.3">
      <c r="B8" s="1" t="str">
        <v>E</v>
      </c>
      <c r="C8" s="1" t="str" cm="1">
        <f t="array" aca="1" ref="C8" ca="1">_xlfn.LET(
   _xlpm.games, _xlfn._xlws.FILTER(CaseList[Name], (LEFT(CaseList[Name]) = B8)*(CaseList[Access]=TRUE)),
   _xlpm.count, IF(ISERROR(ROWS(_xlpm.games)), 0, ROWS(_xlpm.games)),
   _xlpm.random, IF(_xlpm.count = 0, "NONE", INDEX(_xlpm.games, RANDBETWEEN(1, _xlpm.count))),
   _xlpm.random
)</f>
        <v>Excel Superheroes</v>
      </c>
      <c r="D8" s="1">
        <f ca="1"/>
        <v>0.4</v>
      </c>
      <c r="F8" s="1">
        <v>0</v>
      </c>
      <c r="N8" s="1" t="e">
        <f t="shared" si="4"/>
        <v>#N/A</v>
      </c>
      <c r="O8" s="1" t="e">
        <f t="shared" si="1"/>
        <v>#N/A</v>
      </c>
      <c r="P8" s="1" t="e">
        <f t="shared" si="2"/>
        <v>#N/A</v>
      </c>
      <c r="Q8" s="1" t="e">
        <f t="shared" si="3"/>
        <v>#N/A</v>
      </c>
      <c r="R8" s="1">
        <v>1250</v>
      </c>
    </row>
    <row r="9" spans="2:18" x14ac:dyDescent="0.3">
      <c r="B9" s="1" t="str">
        <v>F</v>
      </c>
      <c r="C9" s="1" t="str" cm="1">
        <f t="array" aca="1" ref="C9" ca="1">_xlfn.LET(
   _xlpm.games, _xlfn._xlws.FILTER(CaseList[Name], (LEFT(CaseList[Name]) = B9)*(CaseList[Access]=TRUE)),
   _xlpm.count, IF(ISERROR(ROWS(_xlpm.games)), 0, ROWS(_xlpm.games)),
   _xlpm.random, IF(_xlpm.count = 0, "NONE", INDEX(_xlpm.games, RANDBETWEEN(1, _xlpm.count))),
   _xlpm.random
)</f>
        <v>Farming in the Land of Vines</v>
      </c>
      <c r="D9" s="1">
        <f ca="1"/>
        <v>0.4</v>
      </c>
      <c r="F9" s="1">
        <v>0</v>
      </c>
      <c r="N9" s="1" t="e">
        <f t="shared" si="4"/>
        <v>#N/A</v>
      </c>
      <c r="O9" s="1" t="e">
        <f t="shared" si="1"/>
        <v>#N/A</v>
      </c>
      <c r="P9" s="1" t="e">
        <f t="shared" si="2"/>
        <v>#N/A</v>
      </c>
      <c r="Q9" s="1" t="e">
        <f t="shared" si="3"/>
        <v>#N/A</v>
      </c>
      <c r="R9" s="1">
        <v>1250</v>
      </c>
    </row>
    <row r="10" spans="2:18" x14ac:dyDescent="0.3">
      <c r="B10" s="1" t="str">
        <v>G</v>
      </c>
      <c r="C10" s="1" t="str" cm="1">
        <f t="array" aca="1" ref="C10" ca="1">_xlfn.LET(
   _xlpm.games, _xlfn._xlws.FILTER(CaseList[Name], (LEFT(CaseList[Name]) = B10)*(CaseList[Access]=TRUE)),
   _xlpm.count, IF(ISERROR(ROWS(_xlpm.games)), 0, ROWS(_xlpm.games)),
   _xlpm.random, IF(_xlpm.count = 0, "NONE", INDEX(_xlpm.games, RANDBETWEEN(1, _xlpm.count))),
   _xlpm.random
)</f>
        <v>Game of Life</v>
      </c>
      <c r="D10" s="1">
        <f ca="1"/>
        <v>0.4</v>
      </c>
      <c r="F10" s="1">
        <v>0</v>
      </c>
      <c r="N10" s="1" t="e">
        <f t="shared" si="4"/>
        <v>#N/A</v>
      </c>
      <c r="O10" s="1" t="e">
        <f t="shared" si="1"/>
        <v>#N/A</v>
      </c>
      <c r="P10" s="1" t="e">
        <f t="shared" si="2"/>
        <v>#N/A</v>
      </c>
      <c r="Q10" s="1" t="e">
        <f t="shared" si="3"/>
        <v>#N/A</v>
      </c>
      <c r="R10" s="1">
        <v>1250</v>
      </c>
    </row>
    <row r="11" spans="2:18" x14ac:dyDescent="0.3">
      <c r="B11" s="1" t="str">
        <v>H</v>
      </c>
      <c r="C11" s="1" t="str" cm="1">
        <f t="array" aca="1" ref="C11" ca="1">_xlfn.LET(
   _xlpm.games, _xlfn._xlws.FILTER(CaseList[Name], (LEFT(CaseList[Name]) = B11)*(CaseList[Access]=TRUE)),
   _xlpm.count, IF(ISERROR(ROWS(_xlpm.games)), 0, ROWS(_xlpm.games)),
   _xlpm.random, IF(_xlpm.count = 0, "NONE", INDEX(_xlpm.games, RANDBETWEEN(1, _xlpm.count))),
   _xlpm.random
)</f>
        <v>Hitchhiking Day</v>
      </c>
      <c r="D11" s="1">
        <f ca="1"/>
        <v>0.2</v>
      </c>
      <c r="F11" s="1">
        <v>0</v>
      </c>
      <c r="N11" s="1" t="e">
        <f t="shared" si="4"/>
        <v>#N/A</v>
      </c>
      <c r="O11" s="1" t="e">
        <f t="shared" si="1"/>
        <v>#N/A</v>
      </c>
      <c r="P11" s="1" t="e">
        <f t="shared" si="2"/>
        <v>#N/A</v>
      </c>
      <c r="Q11" s="1" t="e">
        <f t="shared" si="3"/>
        <v>#N/A</v>
      </c>
      <c r="R11" s="1">
        <v>1250</v>
      </c>
    </row>
    <row r="12" spans="2:18" x14ac:dyDescent="0.3">
      <c r="B12" s="1" t="str">
        <v>I</v>
      </c>
      <c r="C12" s="1" t="str" cm="1">
        <f t="array" aca="1" ref="C12" ca="1">_xlfn.LET(
   _xlpm.games, _xlfn._xlws.FILTER(CaseList[Name], (LEFT(CaseList[Name]) = B12)*(CaseList[Access]=TRUE)),
   _xlpm.count, IF(ISERROR(ROWS(_xlpm.games)), 0, ROWS(_xlpm.games)),
   _xlpm.random, IF(_xlpm.count = 0, "NONE", INDEX(_xlpm.games, RANDBETWEEN(1, _xlpm.count))),
   _xlpm.random
)</f>
        <v>It's a Sequence</v>
      </c>
      <c r="D12" s="1">
        <f ca="1"/>
        <v>0.2</v>
      </c>
      <c r="F12" s="1">
        <v>0</v>
      </c>
      <c r="N12" s="1" t="e">
        <f t="shared" si="4"/>
        <v>#N/A</v>
      </c>
      <c r="O12" s="1" t="e">
        <f t="shared" si="1"/>
        <v>#N/A</v>
      </c>
      <c r="P12" s="1" t="e">
        <f t="shared" si="2"/>
        <v>#N/A</v>
      </c>
      <c r="Q12" s="1" t="e">
        <f t="shared" si="3"/>
        <v>#N/A</v>
      </c>
      <c r="R12" s="1">
        <v>1250</v>
      </c>
    </row>
    <row r="13" spans="2:18" x14ac:dyDescent="0.3">
      <c r="B13" s="1" t="str">
        <v>J</v>
      </c>
      <c r="C13" s="1" t="str" cm="1">
        <f t="array" aca="1" ref="C13" ca="1">_xlfn.LET(
   _xlpm.games, _xlfn._xlws.FILTER(CaseList[Name], (LEFT(CaseList[Name]) = B13)*(CaseList[Access]=TRUE)),
   _xlpm.count, IF(ISERROR(ROWS(_xlpm.games)), 0, ROWS(_xlpm.games)),
   _xlpm.random, IF(_xlpm.count = 0, "NONE", INDEX(_xlpm.games, RANDBETWEEN(1, _xlpm.count))),
   _xlpm.random
)</f>
        <v>NONE</v>
      </c>
      <c r="D13" s="1">
        <f ca="1"/>
        <v>0</v>
      </c>
      <c r="F13" s="1">
        <v>0</v>
      </c>
      <c r="N13" s="1" t="e">
        <f t="shared" si="4"/>
        <v>#N/A</v>
      </c>
      <c r="O13" s="1" t="e">
        <f t="shared" si="1"/>
        <v>#N/A</v>
      </c>
      <c r="P13" s="1" t="e">
        <f t="shared" si="2"/>
        <v>#N/A</v>
      </c>
      <c r="Q13" s="1" t="e">
        <f t="shared" si="3"/>
        <v>#N/A</v>
      </c>
      <c r="R13" s="1">
        <v>1250</v>
      </c>
    </row>
    <row r="14" spans="2:18" x14ac:dyDescent="0.3">
      <c r="B14" s="1" t="str">
        <v>K</v>
      </c>
      <c r="C14" s="1" t="str" cm="1">
        <f t="array" aca="1" ref="C14" ca="1">_xlfn.LET(
   _xlpm.games, _xlfn._xlws.FILTER(CaseList[Name], (LEFT(CaseList[Name]) = B14)*(CaseList[Access]=TRUE)),
   _xlpm.count, IF(ISERROR(ROWS(_xlpm.games)), 0, ROWS(_xlpm.games)),
   _xlpm.random, IF(_xlpm.count = 0, "NONE", INDEX(_xlpm.games, RANDBETWEEN(1, _xlpm.count))),
   _xlpm.random
)</f>
        <v>Knights and Warriors</v>
      </c>
      <c r="D14" s="1">
        <f ca="1"/>
        <v>0.4</v>
      </c>
      <c r="F14" s="1">
        <v>0</v>
      </c>
      <c r="N14" s="1" t="e">
        <f t="shared" si="4"/>
        <v>#N/A</v>
      </c>
      <c r="O14" s="1" t="e">
        <f t="shared" si="1"/>
        <v>#N/A</v>
      </c>
      <c r="P14" s="1" t="e">
        <f t="shared" si="2"/>
        <v>#N/A</v>
      </c>
      <c r="Q14" s="1" t="e">
        <f t="shared" si="3"/>
        <v>#N/A</v>
      </c>
      <c r="R14" s="1">
        <v>1250</v>
      </c>
    </row>
    <row r="15" spans="2:18" x14ac:dyDescent="0.3">
      <c r="B15" s="1" t="str">
        <v>L</v>
      </c>
      <c r="C15" s="1" t="str" cm="1">
        <f t="array" aca="1" ref="C15" ca="1">_xlfn.LET(
   _xlpm.games, _xlfn._xlws.FILTER(CaseList[Name], (LEFT(CaseList[Name]) = B15)*(CaseList[Access]=TRUE)),
   _xlpm.count, IF(ISERROR(ROWS(_xlpm.games)), 0, ROWS(_xlpm.games)),
   _xlpm.random, IF(_xlpm.count = 0, "NONE", INDEX(_xlpm.games, RANDBETWEEN(1, _xlpm.count))),
   _xlpm.random
)</f>
        <v>Lana Banana</v>
      </c>
      <c r="D15" s="1">
        <f ca="1"/>
        <v>0.6</v>
      </c>
      <c r="F15" s="1">
        <v>0</v>
      </c>
      <c r="N15" s="1" t="e">
        <f t="shared" si="4"/>
        <v>#N/A</v>
      </c>
      <c r="O15" s="1" t="e">
        <f t="shared" si="1"/>
        <v>#N/A</v>
      </c>
      <c r="P15" s="1" t="e">
        <f t="shared" si="2"/>
        <v>#N/A</v>
      </c>
      <c r="Q15" s="1" t="e">
        <f t="shared" si="3"/>
        <v>#N/A</v>
      </c>
      <c r="R15" s="1">
        <v>1250</v>
      </c>
    </row>
    <row r="16" spans="2:18" x14ac:dyDescent="0.3">
      <c r="B16" s="1" t="str">
        <v>M</v>
      </c>
      <c r="C16" s="1" t="str" cm="1">
        <f t="array" aca="1" ref="C16" ca="1">_xlfn.LET(
   _xlpm.games, _xlfn._xlws.FILTER(CaseList[Name], (LEFT(CaseList[Name]) = B16)*(CaseList[Access]=TRUE)),
   _xlpm.count, IF(ISERROR(ROWS(_xlpm.games)), 0, ROWS(_xlpm.games)),
   _xlpm.random, IF(_xlpm.count = 0, "NONE", INDEX(_xlpm.games, RANDBETWEEN(1, _xlpm.count))),
   _xlpm.random
)</f>
        <v>Maze</v>
      </c>
      <c r="D16" s="1">
        <f ca="1"/>
        <v>0.4</v>
      </c>
      <c r="F16" s="1">
        <v>0</v>
      </c>
      <c r="N16" s="1" t="e">
        <f t="shared" si="4"/>
        <v>#N/A</v>
      </c>
      <c r="O16" s="1" t="e">
        <f t="shared" si="1"/>
        <v>#N/A</v>
      </c>
      <c r="P16" s="1" t="e">
        <f t="shared" si="2"/>
        <v>#N/A</v>
      </c>
      <c r="Q16" s="1" t="e">
        <f t="shared" si="3"/>
        <v>#N/A</v>
      </c>
      <c r="R16" s="1">
        <v>1250</v>
      </c>
    </row>
    <row r="17" spans="2:18" x14ac:dyDescent="0.3">
      <c r="B17" s="1" t="str">
        <v>N</v>
      </c>
      <c r="C17" s="1" t="str" cm="1">
        <f t="array" aca="1" ref="C17" ca="1">_xlfn.LET(
   _xlpm.games, _xlfn._xlws.FILTER(CaseList[Name], (LEFT(CaseList[Name]) = B17)*(CaseList[Access]=TRUE)),
   _xlpm.count, IF(ISERROR(ROWS(_xlpm.games)), 0, ROWS(_xlpm.games)),
   _xlpm.random, IF(_xlpm.count = 0, "NONE", INDEX(_xlpm.games, RANDBETWEEN(1, _xlpm.count))),
   _xlpm.random
)</f>
        <v>NONE</v>
      </c>
      <c r="D17" s="1">
        <f ca="1"/>
        <v>0</v>
      </c>
      <c r="F17" s="1">
        <v>0</v>
      </c>
      <c r="N17" s="1" t="e">
        <f t="shared" si="4"/>
        <v>#N/A</v>
      </c>
      <c r="O17" s="1" t="e">
        <f t="shared" si="1"/>
        <v>#N/A</v>
      </c>
      <c r="P17" s="1" t="e">
        <f t="shared" si="2"/>
        <v>#N/A</v>
      </c>
      <c r="Q17" s="1" t="e">
        <f t="shared" si="3"/>
        <v>#N/A</v>
      </c>
      <c r="R17" s="1">
        <v>1250</v>
      </c>
    </row>
    <row r="18" spans="2:18" x14ac:dyDescent="0.3">
      <c r="B18" s="1" t="str">
        <v>O</v>
      </c>
      <c r="C18" s="1" t="str" cm="1">
        <f t="array" aca="1" ref="C18" ca="1">_xlfn.LET(
   _xlpm.games, _xlfn._xlws.FILTER(CaseList[Name], (LEFT(CaseList[Name]) = B18)*(CaseList[Access]=TRUE)),
   _xlpm.count, IF(ISERROR(ROWS(_xlpm.games)), 0, ROWS(_xlpm.games)),
   _xlpm.random, IF(_xlpm.count = 0, "NONE", INDEX(_xlpm.games, RANDBETWEEN(1, _xlpm.count))),
   _xlpm.random
)</f>
        <v>Origami</v>
      </c>
      <c r="D18" s="1">
        <f ca="1"/>
        <v>0.6</v>
      </c>
      <c r="F18" s="1">
        <v>0</v>
      </c>
      <c r="N18" s="1" t="e">
        <f t="shared" si="4"/>
        <v>#N/A</v>
      </c>
      <c r="O18" s="1" t="e">
        <f t="shared" si="1"/>
        <v>#N/A</v>
      </c>
      <c r="P18" s="1" t="e">
        <f t="shared" si="2"/>
        <v>#N/A</v>
      </c>
      <c r="Q18" s="1" t="e">
        <f t="shared" si="3"/>
        <v>#N/A</v>
      </c>
      <c r="R18" s="1">
        <v>1250</v>
      </c>
    </row>
    <row r="19" spans="2:18" x14ac:dyDescent="0.3">
      <c r="B19" s="1" t="str">
        <v>P</v>
      </c>
      <c r="C19" s="1" t="str" cm="1">
        <f t="array" aca="1" ref="C19" ca="1">_xlfn.LET(
   _xlpm.games, _xlfn._xlws.FILTER(CaseList[Name], (LEFT(CaseList[Name]) = B19)*(CaseList[Access]=TRUE)),
   _xlpm.count, IF(ISERROR(ROWS(_xlpm.games)), 0, ROWS(_xlpm.games)),
   _xlpm.random, IF(_xlpm.count = 0, "NONE", INDEX(_xlpm.games, RANDBETWEEN(1, _xlpm.count))),
   _xlpm.random
)</f>
        <v>Pinball</v>
      </c>
      <c r="D19" s="1">
        <f ca="1"/>
        <v>0.4</v>
      </c>
      <c r="F19" s="1">
        <v>0</v>
      </c>
      <c r="N19" s="1" t="e">
        <f t="shared" si="4"/>
        <v>#N/A</v>
      </c>
      <c r="O19" s="1" t="e">
        <f t="shared" si="1"/>
        <v>#N/A</v>
      </c>
      <c r="P19" s="1" t="e">
        <f t="shared" si="2"/>
        <v>#N/A</v>
      </c>
      <c r="Q19" s="1" t="e">
        <f t="shared" si="3"/>
        <v>#N/A</v>
      </c>
      <c r="R19" s="1">
        <v>1250</v>
      </c>
    </row>
    <row r="20" spans="2:18" x14ac:dyDescent="0.3">
      <c r="B20" s="1" t="str">
        <v>Q</v>
      </c>
      <c r="C20" s="1" t="str" cm="1">
        <f t="array" aca="1" ref="C20" ca="1">_xlfn.LET(
   _xlpm.games, _xlfn._xlws.FILTER(CaseList[Name], (LEFT(CaseList[Name]) = B20)*(CaseList[Access]=TRUE)),
   _xlpm.count, IF(ISERROR(ROWS(_xlpm.games)), 0, ROWS(_xlpm.games)),
   _xlpm.random, IF(_xlpm.count = 0, "NONE", INDEX(_xlpm.games, RANDBETWEEN(1, _xlpm.count))),
   _xlpm.random
)</f>
        <v>NONE</v>
      </c>
      <c r="D20" s="1">
        <f ca="1"/>
        <v>0</v>
      </c>
      <c r="F20" s="1">
        <v>0</v>
      </c>
      <c r="N20" s="1" t="e">
        <f t="shared" si="4"/>
        <v>#N/A</v>
      </c>
      <c r="O20" s="1" t="e">
        <f t="shared" si="1"/>
        <v>#N/A</v>
      </c>
      <c r="P20" s="1" t="e">
        <f t="shared" si="2"/>
        <v>#N/A</v>
      </c>
      <c r="Q20" s="1" t="e">
        <f t="shared" si="3"/>
        <v>#N/A</v>
      </c>
      <c r="R20" s="1">
        <v>1250</v>
      </c>
    </row>
    <row r="21" spans="2:18" x14ac:dyDescent="0.3">
      <c r="B21" s="1" t="str">
        <v>R</v>
      </c>
      <c r="C21" s="1" t="str" cm="1">
        <f t="array" aca="1" ref="C21" ca="1">_xlfn.LET(
   _xlpm.games, _xlfn._xlws.FILTER(CaseList[Name], (LEFT(CaseList[Name]) = B21)*(CaseList[Access]=TRUE)),
   _xlpm.count, IF(ISERROR(ROWS(_xlpm.games)), 0, ROWS(_xlpm.games)),
   _xlpm.random, IF(_xlpm.count = 0, "NONE", INDEX(_xlpm.games, RANDBETWEEN(1, _xlpm.count))),
   _xlpm.random
)</f>
        <v>Rugby World Cup 2023</v>
      </c>
      <c r="D21" s="1">
        <f ca="1"/>
        <v>0.4</v>
      </c>
      <c r="F21" s="1">
        <v>0</v>
      </c>
      <c r="N21" s="1" t="e">
        <f t="shared" si="4"/>
        <v>#N/A</v>
      </c>
      <c r="O21" s="1" t="e">
        <f t="shared" si="1"/>
        <v>#N/A</v>
      </c>
      <c r="P21" s="1" t="e">
        <f t="shared" si="2"/>
        <v>#N/A</v>
      </c>
      <c r="Q21" s="1" t="e">
        <f t="shared" si="3"/>
        <v>#N/A</v>
      </c>
      <c r="R21" s="1">
        <v>1250</v>
      </c>
    </row>
    <row r="22" spans="2:18" x14ac:dyDescent="0.3">
      <c r="B22" s="1" t="str">
        <v>S</v>
      </c>
      <c r="C22" s="1" t="str" cm="1">
        <f t="array" aca="1" ref="C22" ca="1">_xlfn.LET(
   _xlpm.games, _xlfn._xlws.FILTER(CaseList[Name], (LEFT(CaseList[Name]) = B22)*(CaseList[Access]=TRUE)),
   _xlpm.count, IF(ISERROR(ROWS(_xlpm.games)), 0, ROWS(_xlpm.games)),
   _xlpm.random, IF(_xlpm.count = 0, "NONE", INDEX(_xlpm.games, RANDBETWEEN(1, _xlpm.count))),
   _xlpm.random
)</f>
        <v>Square of Fortune</v>
      </c>
      <c r="D22" s="1">
        <f ca="1"/>
        <v>0.4</v>
      </c>
      <c r="F22" s="1">
        <v>0</v>
      </c>
      <c r="N22" s="1" t="e">
        <f t="shared" si="4"/>
        <v>#N/A</v>
      </c>
      <c r="O22" s="1" t="e">
        <f t="shared" si="1"/>
        <v>#N/A</v>
      </c>
      <c r="P22" s="1" t="e">
        <f t="shared" si="2"/>
        <v>#N/A</v>
      </c>
      <c r="Q22" s="1" t="e">
        <f t="shared" si="3"/>
        <v>#N/A</v>
      </c>
      <c r="R22" s="1">
        <v>1250</v>
      </c>
    </row>
    <row r="23" spans="2:18" x14ac:dyDescent="0.3">
      <c r="B23" s="1" t="str">
        <v>T</v>
      </c>
      <c r="C23" s="1" t="str" cm="1">
        <f t="array" aca="1" ref="C23" ca="1">_xlfn.LET(
   _xlpm.games, _xlfn._xlws.FILTER(CaseList[Name], (LEFT(CaseList[Name]) = B23)*(CaseList[Access]=TRUE)),
   _xlpm.count, IF(ISERROR(ROWS(_xlpm.games)), 0, ROWS(_xlpm.games)),
   _xlpm.random, IF(_xlpm.count = 0, "NONE", INDEX(_xlpm.games, RANDBETWEEN(1, _xlpm.count))),
   _xlpm.random
)</f>
        <v>Tripeaks</v>
      </c>
      <c r="D23" s="1">
        <f ca="1"/>
        <v>0.6</v>
      </c>
      <c r="F23" s="1">
        <v>0</v>
      </c>
      <c r="N23" s="1" t="e">
        <f t="shared" si="4"/>
        <v>#N/A</v>
      </c>
      <c r="O23" s="1" t="e">
        <f t="shared" si="1"/>
        <v>#N/A</v>
      </c>
      <c r="P23" s="1" t="e">
        <f t="shared" si="2"/>
        <v>#N/A</v>
      </c>
      <c r="Q23" s="1" t="e">
        <f t="shared" si="3"/>
        <v>#N/A</v>
      </c>
      <c r="R23" s="1">
        <v>1250</v>
      </c>
    </row>
    <row r="24" spans="2:18" x14ac:dyDescent="0.3">
      <c r="B24" s="1" t="str">
        <v>U</v>
      </c>
      <c r="C24" s="1" t="str" cm="1">
        <f t="array" aca="1" ref="C24" ca="1">_xlfn.LET(
   _xlpm.games, _xlfn._xlws.FILTER(CaseList[Name], (LEFT(CaseList[Name]) = B24)*(CaseList[Access]=TRUE)),
   _xlpm.count, IF(ISERROR(ROWS(_xlpm.games)), 0, ROWS(_xlpm.games)),
   _xlpm.random, IF(_xlpm.count = 0, "NONE", INDEX(_xlpm.games, RANDBETWEEN(1, _xlpm.count))),
   _xlpm.random
)</f>
        <v>Use Your Head</v>
      </c>
      <c r="D24" s="1">
        <f ca="1"/>
        <v>0.2</v>
      </c>
      <c r="F24" s="1">
        <v>0</v>
      </c>
      <c r="N24" s="1" t="e">
        <f t="shared" si="4"/>
        <v>#N/A</v>
      </c>
      <c r="O24" s="1" t="e">
        <f t="shared" si="1"/>
        <v>#N/A</v>
      </c>
      <c r="P24" s="1" t="e">
        <f t="shared" si="2"/>
        <v>#N/A</v>
      </c>
      <c r="Q24" s="1" t="e">
        <f t="shared" si="3"/>
        <v>#N/A</v>
      </c>
      <c r="R24" s="1">
        <v>1250</v>
      </c>
    </row>
    <row r="25" spans="2:18" x14ac:dyDescent="0.3">
      <c r="B25" s="1" t="str">
        <v>V</v>
      </c>
      <c r="C25" s="1" t="str" cm="1">
        <f t="array" aca="1" ref="C25" ca="1">_xlfn.LET(
   _xlpm.games, _xlfn._xlws.FILTER(CaseList[Name], (LEFT(CaseList[Name]) = B25)*(CaseList[Access]=TRUE)),
   _xlpm.count, IF(ISERROR(ROWS(_xlpm.games)), 0, ROWS(_xlpm.games)),
   _xlpm.random, IF(_xlpm.count = 0, "NONE", INDEX(_xlpm.games, RANDBETWEEN(1, _xlpm.count))),
   _xlpm.random
)</f>
        <v>Vlookie the Gold Miner</v>
      </c>
      <c r="D25" s="1">
        <f ca="1"/>
        <v>0.6</v>
      </c>
      <c r="F25" s="1">
        <v>0</v>
      </c>
      <c r="N25" s="1" t="e">
        <f t="shared" si="4"/>
        <v>#N/A</v>
      </c>
      <c r="O25" s="1" t="e">
        <f t="shared" si="1"/>
        <v>#N/A</v>
      </c>
      <c r="P25" s="1" t="e">
        <f t="shared" si="2"/>
        <v>#N/A</v>
      </c>
      <c r="Q25" s="1" t="e">
        <f t="shared" si="3"/>
        <v>#N/A</v>
      </c>
      <c r="R25" s="1">
        <v>1250</v>
      </c>
    </row>
    <row r="26" spans="2:18" x14ac:dyDescent="0.3">
      <c r="B26" s="1" t="str">
        <v>W</v>
      </c>
      <c r="C26" s="1" t="str" cm="1">
        <f t="array" aca="1" ref="C26" ca="1">_xlfn.LET(
   _xlpm.games, _xlfn._xlws.FILTER(CaseList[Name], (LEFT(CaseList[Name]) = B26)*(CaseList[Access]=TRUE)),
   _xlpm.count, IF(ISERROR(ROWS(_xlpm.games)), 0, ROWS(_xlpm.games)),
   _xlpm.random, IF(_xlpm.count = 0, "NONE", INDEX(_xlpm.games, RANDBETWEEN(1, _xlpm.count))),
   _xlpm.random
)</f>
        <v>Watt The Pho</v>
      </c>
      <c r="D26" s="1">
        <f ca="1"/>
        <v>0.6</v>
      </c>
      <c r="F26" s="1">
        <v>0</v>
      </c>
      <c r="N26" s="1" t="e">
        <f t="shared" si="4"/>
        <v>#N/A</v>
      </c>
      <c r="O26" s="1" t="e">
        <f t="shared" si="1"/>
        <v>#N/A</v>
      </c>
      <c r="P26" s="1" t="e">
        <f t="shared" si="2"/>
        <v>#N/A</v>
      </c>
      <c r="Q26" s="1" t="e">
        <f t="shared" si="3"/>
        <v>#N/A</v>
      </c>
      <c r="R26" s="1">
        <v>1250</v>
      </c>
    </row>
    <row r="27" spans="2:18" x14ac:dyDescent="0.3">
      <c r="B27" s="1" t="str">
        <v>X</v>
      </c>
      <c r="C27" s="1" t="str" cm="1">
        <f t="array" aca="1" ref="C27" ca="1">_xlfn.LET(
   _xlpm.games, _xlfn._xlws.FILTER(CaseList[Name], (LEFT(CaseList[Name]) = B27)*(CaseList[Access]=TRUE)),
   _xlpm.count, IF(ISERROR(ROWS(_xlpm.games)), 0, ROWS(_xlpm.games)),
   _xlpm.random, IF(_xlpm.count = 0, "NONE", INDEX(_xlpm.games, RANDBETWEEN(1, _xlpm.count))),
   _xlpm.random
)</f>
        <v>NONE</v>
      </c>
      <c r="D27" s="1">
        <f ca="1"/>
        <v>0</v>
      </c>
      <c r="F27" s="1">
        <v>0</v>
      </c>
      <c r="N27" s="1" t="e">
        <f t="shared" si="4"/>
        <v>#N/A</v>
      </c>
      <c r="O27" s="1" t="e">
        <f t="shared" si="1"/>
        <v>#N/A</v>
      </c>
      <c r="P27" s="1" t="e">
        <f t="shared" si="2"/>
        <v>#N/A</v>
      </c>
      <c r="Q27" s="1" t="e">
        <f t="shared" si="3"/>
        <v>#N/A</v>
      </c>
      <c r="R27" s="1">
        <v>1250</v>
      </c>
    </row>
    <row r="28" spans="2:18" x14ac:dyDescent="0.3">
      <c r="B28" s="1" t="str">
        <v>Y</v>
      </c>
      <c r="C28" s="1" t="str" cm="1">
        <f t="array" aca="1" ref="C28" ca="1">_xlfn.LET(
   _xlpm.games, _xlfn._xlws.FILTER(CaseList[Name], (LEFT(CaseList[Name]) = B28)*(CaseList[Access]=TRUE)),
   _xlpm.count, IF(ISERROR(ROWS(_xlpm.games)), 0, ROWS(_xlpm.games)),
   _xlpm.random, IF(_xlpm.count = 0, "NONE", INDEX(_xlpm.games, RANDBETWEEN(1, _xlpm.count))),
   _xlpm.random
)</f>
        <v>NONE</v>
      </c>
      <c r="D28" s="1">
        <f ca="1"/>
        <v>0</v>
      </c>
      <c r="F28" s="1">
        <v>0</v>
      </c>
      <c r="N28" s="1" t="e">
        <f t="shared" si="4"/>
        <v>#N/A</v>
      </c>
      <c r="O28" s="1" t="e">
        <f t="shared" si="1"/>
        <v>#N/A</v>
      </c>
      <c r="P28" s="1" t="e">
        <f t="shared" si="2"/>
        <v>#N/A</v>
      </c>
      <c r="Q28" s="1" t="e">
        <f t="shared" si="3"/>
        <v>#N/A</v>
      </c>
      <c r="R28" s="1">
        <v>1250</v>
      </c>
    </row>
    <row r="29" spans="2:18" x14ac:dyDescent="0.3">
      <c r="B29" s="1" t="str">
        <v>Z</v>
      </c>
      <c r="C29" s="1" t="str" cm="1">
        <f t="array" aca="1" ref="C29" ca="1">_xlfn.LET(
   _xlpm.games, _xlfn._xlws.FILTER(CaseList[Name], (LEFT(CaseList[Name]) = B29)*(CaseList[Access]=TRUE)),
   _xlpm.count, IF(ISERROR(ROWS(_xlpm.games)), 0, ROWS(_xlpm.games)),
   _xlpm.random, IF(_xlpm.count = 0, "NONE", INDEX(_xlpm.games, RANDBETWEEN(1, _xlpm.count))),
   _xlpm.random
)</f>
        <v>NONE</v>
      </c>
      <c r="D29" s="1">
        <f ca="1"/>
        <v>0</v>
      </c>
      <c r="F29" s="1">
        <v>0</v>
      </c>
      <c r="N29" s="1" t="e">
        <f t="shared" si="4"/>
        <v>#N/A</v>
      </c>
      <c r="O29" s="1" t="e">
        <f t="shared" si="1"/>
        <v>#N/A</v>
      </c>
      <c r="P29" s="1" t="e">
        <f t="shared" si="2"/>
        <v>#N/A</v>
      </c>
      <c r="Q29" s="1" t="e">
        <f t="shared" si="3"/>
        <v>#N/A</v>
      </c>
      <c r="R29" s="1">
        <v>1250</v>
      </c>
    </row>
  </sheetData>
  <conditionalFormatting sqref="F2">
    <cfRule type="iconSet" priority="4">
      <iconSet iconSet="5Quarters" showValue="0">
        <cfvo type="percent" val="0"/>
        <cfvo type="num" val="0.2"/>
        <cfvo type="num" val="0.4"/>
        <cfvo type="num" val="0.6"/>
        <cfvo type="num" val="0.8"/>
      </iconSet>
    </cfRule>
  </conditionalFormatting>
  <conditionalFormatting sqref="F4:F29">
    <cfRule type="iconSet" priority="3">
      <iconSet iconSet="5Quarters" showValue="0">
        <cfvo type="percent" val="0"/>
        <cfvo type="num" val="0.2"/>
        <cfvo type="num" val="0.4"/>
        <cfvo type="num" val="0.6"/>
        <cfvo type="num" val="0.8"/>
      </iconSet>
    </cfRule>
  </conditionalFormatting>
  <conditionalFormatting sqref="D4:D29">
    <cfRule type="iconSet" priority="2">
      <iconSet iconSet="5Quarters" showValue="0">
        <cfvo type="percent" val="0"/>
        <cfvo type="num" val="0.2"/>
        <cfvo type="num" val="0.4"/>
        <cfvo type="num" val="0.6"/>
        <cfvo type="num" val="0.8"/>
      </iconSet>
    </cfRule>
  </conditionalFormatting>
  <conditionalFormatting sqref="D2">
    <cfRule type="iconSet" priority="1">
      <iconSet iconSet="5Quarters" showValue="0">
        <cfvo type="percent" val="0"/>
        <cfvo type="num" val="0.2"/>
        <cfvo type="num" val="0.4"/>
        <cfvo type="num" val="0.6"/>
        <cfvo type="num" val="0.8"/>
      </iconSet>
    </cfRule>
  </conditionalFormatting>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negative="1" xr2:uid="{7DF879FE-4661-4F2E-94BE-6B534CFD936C}">
          <x14:colorSeries rgb="FF376092"/>
          <x14:colorNegative rgb="FFD00000"/>
          <x14:colorAxis rgb="FF000000"/>
          <x14:colorMarkers rgb="FFD00000"/>
          <x14:colorFirst rgb="FFD00000"/>
          <x14:colorLast rgb="FFD00000"/>
          <x14:colorHigh rgb="FFD00000"/>
          <x14:colorLow rgb="FFD00000"/>
          <x14:sparklines>
            <x14:sparkline>
              <xm:f>'A-Z'!N4:Q4</xm:f>
              <xm:sqref>M4</xm:sqref>
            </x14:sparkline>
            <x14:sparkline>
              <xm:f>'A-Z'!N5:Q5</xm:f>
              <xm:sqref>M5</xm:sqref>
            </x14:sparkline>
            <x14:sparkline>
              <xm:f>'A-Z'!N6:Q6</xm:f>
              <xm:sqref>M6</xm:sqref>
            </x14:sparkline>
            <x14:sparkline>
              <xm:f>'A-Z'!N7:Q7</xm:f>
              <xm:sqref>M7</xm:sqref>
            </x14:sparkline>
            <x14:sparkline>
              <xm:f>'A-Z'!N8:Q8</xm:f>
              <xm:sqref>M8</xm:sqref>
            </x14:sparkline>
            <x14:sparkline>
              <xm:f>'A-Z'!N9:Q9</xm:f>
              <xm:sqref>M9</xm:sqref>
            </x14:sparkline>
            <x14:sparkline>
              <xm:f>'A-Z'!N10:Q10</xm:f>
              <xm:sqref>M10</xm:sqref>
            </x14:sparkline>
            <x14:sparkline>
              <xm:f>'A-Z'!N11:Q11</xm:f>
              <xm:sqref>M11</xm:sqref>
            </x14:sparkline>
            <x14:sparkline>
              <xm:f>'A-Z'!N12:Q12</xm:f>
              <xm:sqref>M12</xm:sqref>
            </x14:sparkline>
            <x14:sparkline>
              <xm:f>'A-Z'!N13:Q13</xm:f>
              <xm:sqref>M13</xm:sqref>
            </x14:sparkline>
            <x14:sparkline>
              <xm:f>'A-Z'!N14:Q14</xm:f>
              <xm:sqref>M14</xm:sqref>
            </x14:sparkline>
            <x14:sparkline>
              <xm:f>'A-Z'!N15:Q15</xm:f>
              <xm:sqref>M15</xm:sqref>
            </x14:sparkline>
            <x14:sparkline>
              <xm:f>'A-Z'!N16:Q16</xm:f>
              <xm:sqref>M16</xm:sqref>
            </x14:sparkline>
            <x14:sparkline>
              <xm:f>'A-Z'!N17:Q17</xm:f>
              <xm:sqref>M17</xm:sqref>
            </x14:sparkline>
            <x14:sparkline>
              <xm:f>'A-Z'!N18:Q18</xm:f>
              <xm:sqref>M18</xm:sqref>
            </x14:sparkline>
            <x14:sparkline>
              <xm:f>'A-Z'!N19:Q19</xm:f>
              <xm:sqref>M19</xm:sqref>
            </x14:sparkline>
            <x14:sparkline>
              <xm:f>'A-Z'!N20:Q20</xm:f>
              <xm:sqref>M20</xm:sqref>
            </x14:sparkline>
            <x14:sparkline>
              <xm:f>'A-Z'!N21:Q21</xm:f>
              <xm:sqref>M21</xm:sqref>
            </x14:sparkline>
            <x14:sparkline>
              <xm:f>'A-Z'!N22:Q22</xm:f>
              <xm:sqref>M22</xm:sqref>
            </x14:sparkline>
            <x14:sparkline>
              <xm:f>'A-Z'!N23:Q23</xm:f>
              <xm:sqref>M23</xm:sqref>
            </x14:sparkline>
            <x14:sparkline>
              <xm:f>'A-Z'!N24:Q24</xm:f>
              <xm:sqref>M24</xm:sqref>
            </x14:sparkline>
            <x14:sparkline>
              <xm:f>'A-Z'!N25:Q25</xm:f>
              <xm:sqref>M25</xm:sqref>
            </x14:sparkline>
            <x14:sparkline>
              <xm:f>'A-Z'!N26:Q26</xm:f>
              <xm:sqref>M26</xm:sqref>
            </x14:sparkline>
            <x14:sparkline>
              <xm:f>'A-Z'!N27:Q27</xm:f>
              <xm:sqref>M27</xm:sqref>
            </x14:sparkline>
            <x14:sparkline>
              <xm:f>'A-Z'!N28:Q28</xm:f>
              <xm:sqref>M28</xm:sqref>
            </x14:sparkline>
            <x14:sparkline>
              <xm:f>'A-Z'!N29:Q29</xm:f>
              <xm:sqref>M29</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685F1-82F8-4B9D-B705-888BBFE46F0C}">
  <sheetPr codeName="Sheet3"/>
  <dimension ref="B2:J1193"/>
  <sheetViews>
    <sheetView showGridLines="0" zoomScale="55" zoomScaleNormal="55" workbookViewId="0">
      <pane ySplit="4" topLeftCell="A5" activePane="bottomLeft" state="frozen"/>
      <selection activeCell="I13" sqref="I13"/>
      <selection pane="bottomLeft" activeCell="D5" sqref="D5"/>
    </sheetView>
  </sheetViews>
  <sheetFormatPr defaultColWidth="9.23046875" defaultRowHeight="18.75" x14ac:dyDescent="0.3"/>
  <cols>
    <col min="1" max="1" width="1.3046875" style="1" customWidth="1"/>
    <col min="2" max="2" width="9.23046875" style="1"/>
    <col min="3" max="3" width="32.69140625" style="1" customWidth="1"/>
    <col min="4" max="4" width="60.69140625" style="1" customWidth="1"/>
    <col min="5" max="5" width="24.69140625" style="1" customWidth="1"/>
    <col min="6" max="6" width="60.69140625" style="1" customWidth="1"/>
    <col min="7" max="7" width="8.69140625" style="8" customWidth="1"/>
    <col min="8" max="8" width="10.69140625" style="1" customWidth="1"/>
    <col min="9" max="16384" width="9.23046875" style="1"/>
  </cols>
  <sheetData>
    <row r="2" spans="2:10" ht="64.5" thickBot="1" x14ac:dyDescent="1.05">
      <c r="B2" s="7" t="s">
        <v>12</v>
      </c>
      <c r="C2" s="7"/>
      <c r="D2" s="7"/>
      <c r="E2" s="7"/>
      <c r="F2" s="7"/>
      <c r="G2" s="7"/>
      <c r="H2" s="7"/>
      <c r="I2" s="7"/>
      <c r="J2" s="7"/>
    </row>
    <row r="3" spans="2:10" ht="19.5" thickTop="1" x14ac:dyDescent="0.3"/>
    <row r="4" spans="2:10" x14ac:dyDescent="0.3">
      <c r="B4" s="5" t="s">
        <v>13</v>
      </c>
      <c r="C4" s="5" t="s">
        <v>985</v>
      </c>
      <c r="D4" s="5" t="s">
        <v>986</v>
      </c>
      <c r="E4" s="5" t="s">
        <v>15</v>
      </c>
      <c r="F4" s="5" t="s">
        <v>16</v>
      </c>
      <c r="G4" s="26" t="s">
        <v>987</v>
      </c>
      <c r="H4" s="5" t="s">
        <v>18</v>
      </c>
    </row>
    <row r="5" spans="2:10" ht="56.25" x14ac:dyDescent="0.3">
      <c r="B5" s="24" cm="1">
        <f t="array" ref="B5:B67">_xlfn.SEQUENCE(ROWS(_xlfn.ANCHORARRAY(C5)))</f>
        <v>1</v>
      </c>
      <c r="C5" s="25" t="str" cm="1">
        <f t="array" ref="C5:H67">_xlfn.LET(_xlpm.rowsPer, 9996, _xlpm.log, _xlfn.VSTACK(A:Z!C5:H10000), _xlpm.nmRaw, _xlfn.CHOOSECOLS(_xlpm.log, 1), _xlpm.nm, TRIM(_xlpm.nmRaw&amp;""), _xlpm.code, TRIM(_xlfn.CHOOSECOLS(_xlpm.log, 2)&amp;""), _xlpm.collRaw, TRIM(_xlfn.CHOOSECOLS(_xlpm.log, 4)&amp;""), _xlpm.coll, _xlfn.SWITCH(UPPER(_xlpm.collRaw), "ARRAY ROBOT", "Array Robot Vol 1", "A-ZTRAINING", "A-ZTraining", _xlpm.collRaw), _xlpm.desc, _xlfn.CHOOSECOLS(_xlpm.log, 5)&amp;"", _xlpm.cs, UPPER(_xlfn.CHOOSECOLS(_xlpm.log, 6)&amp;""), _xlpm.sheetNo, INT((_xlfn.SEQUENCE(ROWS(_xlpm.log))-1)/_xlpm.rowsPer)+1, _xlpm.grp, _xlfn.IFNA(_xlfn.XLOOKUP(_xlpm.nm, tblCommandMap[Command], tblCommandMap[Group]), _xlpm.nm), _xlpm.onBoard, _xlfn.IFNA(_xlfn.XLOOKUP(_xlpm.nm, tblCommandMap[Command], tblCommandMap[Leaderboard]), "Yes"), _xlpm.caseSpecific, (_xlpm.cs="TRUE")+(MID(_xlpm.nm, 2, 3)=" - "), _xlpm.keep, ISTEXT(_xlpm.nmRaw)*(LEN(_xlpm.nm)&gt;0)*(_xlpm.caseSpecific=0)*(_xlpm.onBoard&lt;&gt;"No"), _xlpm.g, _xlfn._xlws.FILTER(_xlpm.grp, _xlpm.keep), _xlpm.n, _xlfn._xlws.FILTER(_xlpm.nm, _xlpm.keep), _xlpm.k, _xlfn._xlws.FILTER(_xlpm.code, _xlpm.keep), _xlpm.c, _xlfn._xlws.FILTER(_xlpm.coll, _xlpm.keep), _xlpm.d, _xlfn._xlws.FILTER(_xlpm.desc, _xlpm.keep), _xlpm.s, _xlfn._xlws.FILTER(_xlpm.sheetNo, _xlpm.keep), _xlpm.ug, _xlfn.UNIQUE(_xlpm.g), _xlpm.uses, _xlfn.MAP(_xlpm.ug, _xlfn.LAMBDA(_xlpm.x, SUM(--(_xlpm.g=_xlpm.x)))), _xlpm.cases, _xlfn.MAP(_xlpm.ug, _xlfn.LAMBDA(_xlpm.x, ROWS(_xlfn.UNIQUE(_xlfn._xlws.FILTER(_xlpm.s, _xlpm.g=_xlpm.x))))), _xlpm.members, _xlfn.MAP(_xlpm.ug, _xlfn.LAMBDA(_xlpm.x, _xlfn.TEXTJOIN(", ", TRUE, _xlfn.MAP(_xlfn.UNIQUE(_xlfn._xlws.FILTER(_xlpm.n, _xlpm.g=_xlpm.x)), _xlfn.LAMBDA(_xlpm.y, _xlfn.LET(_xlpm.codes, _xlfn.TEXTJOIN("/", TRUE, _xlfn.UNIQUE(_xlfn._xlws.FILTER(_xlpm.k, (_xlpm.n=_xlpm.y)*(_xlpm.k&lt;&gt;""), ""))), _xlpm.y&amp;IF(_xlpm.codes="", "", " ("&amp;_xlpm.codes&amp;")"))))))), _xlpm.colls, _xlfn.MAP(_xlpm.ug, _xlfn.LAMBDA(_xlpm.x, _xlfn.TEXTJOIN(", ", TRUE, _xlfn.UNIQUE(_xlfn._xlws.FILTER(_xlpm.c, _xlpm.g=_xlpm.x))))), _xlpm.descs, _xlfn.MAP(_xlpm.ug, _xlfn.LAMBDA(_xlpm.x, _xlfn.IFNA(_xlfn.XLOOKUP(_xlpm.x, tblGroups[Group], tblGroups[Description]), INDEX(_xlfn._xlws.FILTER(_xlpm.d, _xlpm.g=_xlpm.x), 1)))), _xlpm.out, _xlfn.HSTACK(_xlpm.ug, _xlpm.members, _xlpm.colls, _xlpm.descs, _xlpm.cases, _xlpm.uses), _xlfn.SORTBY(_xlpm.out, _xlpm.uses, -1, _xlpm.cases, -1, _xlpm.ug, 1))</f>
        <v>Duplicate Formula / Array</v>
      </c>
      <c r="D5" s="25" t="str">
        <v>Duplicate Array to Right (Ctrl-Shift-R), Duplicate Formula to Right (DFR/DF), Duplicate Array Formula to Right (DFR/df), Duplicate Arrays to Right (Ctrl-Shift-R), Duplicate Array To Below (DA), Duplicate Array Formula 2 To Right (DF2)</v>
      </c>
      <c r="E5" s="25" t="str">
        <v>Array Robot Vol 1, A-ZTraining</v>
      </c>
      <c r="F5" s="25" t="str">
        <v>Copies the active formula or array to the right or below as an exact formula</v>
      </c>
      <c r="G5" s="27">
        <v>3</v>
      </c>
      <c r="H5" s="24">
        <v>27</v>
      </c>
    </row>
    <row r="6" spans="2:10" ht="37.5" x14ac:dyDescent="0.3">
      <c r="B6" s="24">
        <v>2</v>
      </c>
      <c r="C6" s="24" t="str">
        <v>Make Array To Right</v>
      </c>
      <c r="D6" s="25" t="str">
        <v>Make Array To Right (MAR), Make Array 2 To Right (MA2R), Make Array 3 To Right (MA3R), Add Link To Right (CR), Make Array On Calc Sheet (MAC)</v>
      </c>
      <c r="E6" s="25" t="str">
        <v>A-ZTraining</v>
      </c>
      <c r="F6" s="25" t="str">
        <v>Points a new array formula at the selection - N columns to the right, or on the Calcs sheet</v>
      </c>
      <c r="G6" s="27">
        <v>2</v>
      </c>
      <c r="H6" s="24">
        <v>17</v>
      </c>
    </row>
    <row r="7" spans="2:10" ht="37.5" x14ac:dyDescent="0.3">
      <c r="B7" s="24">
        <v>3</v>
      </c>
      <c r="C7" s="24" t="str">
        <v>Go To Level N</v>
      </c>
      <c r="D7" s="25" t="str">
        <v>Go To Level 1 (L1), Go To Level 2 (L2), Go To Level 3 (L3), Go To Level 4 (L4), Go To Level 5 (L5), Go To Level 6 (L6), Go To Level 7 (L7)</v>
      </c>
      <c r="E7" s="25" t="str">
        <v>A-ZTraining</v>
      </c>
      <c r="F7" s="25" t="str">
        <v>Jumps to Level N's heading on whichever sheet holds it (L1, L2, ...)</v>
      </c>
      <c r="G7" s="27">
        <v>2</v>
      </c>
      <c r="H7" s="24">
        <v>16</v>
      </c>
    </row>
    <row r="8" spans="2:10" ht="37.5" x14ac:dyDescent="0.3">
      <c r="B8" s="24">
        <v>4</v>
      </c>
      <c r="C8" s="24" t="str">
        <v>Combine With Array To Left</v>
      </c>
      <c r="D8" s="25" t="str">
        <v>Multiply Array by Left Most Array (MAL), Divide Array by Array to Left (DAL), Multiply Array to Left (MA2L), Subtract Array to Left (SA2L), Add Array to Left (AA2L)</v>
      </c>
      <c r="E8" s="25" t="str">
        <v>A-ZTraining</v>
      </c>
      <c r="F8" s="25" t="str">
        <v>Adds, subtracts, multiplies or divides the active array with the array to its left (or the leftmost array)</v>
      </c>
      <c r="G8" s="27">
        <v>3</v>
      </c>
      <c r="H8" s="24">
        <v>13</v>
      </c>
    </row>
    <row r="9" spans="2:10" x14ac:dyDescent="0.3">
      <c r="B9" s="24">
        <v>5</v>
      </c>
      <c r="C9" s="24" t="str">
        <v>Exclude Examples</v>
      </c>
      <c r="D9" s="25" t="str">
        <v>Exclude Examples (XE)</v>
      </c>
      <c r="E9" s="25" t="str">
        <v>A-ZTraining</v>
      </c>
      <c r="F9" s="25" t="str">
        <v>Excludes the top two rows from selection</v>
      </c>
      <c r="G9" s="27">
        <v>2</v>
      </c>
      <c r="H9" s="24">
        <v>11</v>
      </c>
    </row>
    <row r="10" spans="2:10" x14ac:dyDescent="0.3">
      <c r="B10" s="24">
        <v>6</v>
      </c>
      <c r="C10" s="24" t="str">
        <v>Select First Input</v>
      </c>
      <c r="D10" s="25" t="str">
        <v>Select First Input (FI)</v>
      </c>
      <c r="E10" s="25" t="str">
        <v>A-ZTraining</v>
      </c>
      <c r="F10" s="25" t="str">
        <v>Selects column of inputs 2 columns to the right of Answer column</v>
      </c>
      <c r="G10" s="27">
        <v>2</v>
      </c>
      <c r="H10" s="24">
        <v>11</v>
      </c>
    </row>
    <row r="11" spans="2:10" x14ac:dyDescent="0.3">
      <c r="B11" s="24">
        <v>7</v>
      </c>
      <c r="C11" s="24" t="str">
        <v>Save Game Answer To Left</v>
      </c>
      <c r="D11" s="25" t="str">
        <v>Save Game Answer To Left (Ctrl-Shift-S)</v>
      </c>
      <c r="E11" s="25" t="str">
        <v>MEWC Robot</v>
      </c>
      <c r="F11" s="25" t="str">
        <v>Saves selection to answers cells</v>
      </c>
      <c r="G11" s="27">
        <v>2</v>
      </c>
      <c r="H11" s="24">
        <v>10</v>
      </c>
    </row>
    <row r="12" spans="2:10" x14ac:dyDescent="0.3">
      <c r="B12" s="24">
        <v>8</v>
      </c>
      <c r="C12" s="24" t="str">
        <v>Get Array N Up</v>
      </c>
      <c r="D12" s="25" t="str">
        <v>Get Array 2 Up (A2U), Get Array 3 Up (A3U), Get Array 4 Up</v>
      </c>
      <c r="E12" s="25" t="str">
        <v>A-ZTraining</v>
      </c>
      <c r="F12" s="25" t="str">
        <v>Links to the spilled array N cells above</v>
      </c>
      <c r="G12" s="27">
        <v>2</v>
      </c>
      <c r="H12" s="24">
        <v>9</v>
      </c>
    </row>
    <row r="13" spans="2:10" x14ac:dyDescent="0.3">
      <c r="B13" s="24">
        <v>9</v>
      </c>
      <c r="C13" s="24" t="str">
        <v>Lookup From Column N</v>
      </c>
      <c r="D13" s="25" t="str">
        <v>Lookup from Column 2 (LK2), Lookup Array from Column N (LKN)</v>
      </c>
      <c r="E13" s="25" t="str">
        <v>A-ZTraining</v>
      </c>
      <c r="F13" s="25" t="str">
        <v>Looks each value of the active array up in a table, returning a chosen column</v>
      </c>
      <c r="G13" s="27">
        <v>2</v>
      </c>
      <c r="H13" s="24">
        <v>9</v>
      </c>
    </row>
    <row r="14" spans="2:10" x14ac:dyDescent="0.3">
      <c r="B14" s="24">
        <v>10</v>
      </c>
      <c r="C14" s="24" t="str">
        <v>Select Spill Range</v>
      </c>
      <c r="D14" s="25" t="str">
        <v>Select Spill Range (SS)</v>
      </c>
      <c r="E14" s="25" t="str">
        <v>A-ZTraining</v>
      </c>
      <c r="F14" s="25" t="str">
        <v>Selects spill range</v>
      </c>
      <c r="G14" s="27">
        <v>2</v>
      </c>
      <c r="H14" s="24">
        <v>9</v>
      </c>
    </row>
    <row r="15" spans="2:10" x14ac:dyDescent="0.3">
      <c r="B15" s="24">
        <v>11</v>
      </c>
      <c r="C15" s="24" t="str">
        <v>Address Lookup</v>
      </c>
      <c r="D15" s="25" t="str">
        <v>Address Lookup from Parameter Range Name, Address Lookup on Value Above (AL)</v>
      </c>
      <c r="E15" s="25" t="str">
        <v>A-ZTraining</v>
      </c>
      <c r="F15" s="25" t="str">
        <v>Returns what sits at the cell addresses held in the active array, from a named range</v>
      </c>
      <c r="G15" s="27">
        <v>1</v>
      </c>
      <c r="H15" s="24">
        <v>9</v>
      </c>
    </row>
    <row r="16" spans="2:10" x14ac:dyDescent="0.3">
      <c r="B16" s="24">
        <v>12</v>
      </c>
      <c r="C16" s="24" t="str">
        <v>Modulo Array</v>
      </c>
      <c r="D16" s="25" t="str">
        <v>Modulo Array (MODA)</v>
      </c>
      <c r="E16" s="25" t="str">
        <v>A-ZTraining</v>
      </c>
      <c r="F16" s="25" t="str">
        <v>Wraps the active array with MOD by a given divisor</v>
      </c>
      <c r="G16" s="27">
        <v>1</v>
      </c>
      <c r="H16" s="24">
        <v>9</v>
      </c>
    </row>
    <row r="17" spans="2:8" ht="37.5" x14ac:dyDescent="0.3">
      <c r="B17" s="24">
        <v>13</v>
      </c>
      <c r="C17" s="24" t="str">
        <v>Multiply By X</v>
      </c>
      <c r="D17" s="25" t="str">
        <v>Multiply By 1000 (M1k), Multiply By 60 (M60), Multiply By 2 (M2), Multiply By Value (MBV)</v>
      </c>
      <c r="E17" s="25" t="str">
        <v>A-ZTraining</v>
      </c>
      <c r="F17" s="25" t="str">
        <v>Multiplies the active cell or array by a number (Multiply By Value, or fixed 2 / 60 / 1000)</v>
      </c>
      <c r="G17" s="27">
        <v>2</v>
      </c>
      <c r="H17" s="24">
        <v>7</v>
      </c>
    </row>
    <row r="18" spans="2:8" x14ac:dyDescent="0.3">
      <c r="B18" s="24">
        <v>14</v>
      </c>
      <c r="C18" s="24" t="str">
        <v>Sum Array</v>
      </c>
      <c r="D18" s="25" t="str">
        <v>Sum Array (SUM)</v>
      </c>
      <c r="E18" s="25" t="str">
        <v>Array Robot Vol 1</v>
      </c>
      <c r="F18" s="25" t="str">
        <v>Sums Array</v>
      </c>
      <c r="G18" s="27">
        <v>2</v>
      </c>
      <c r="H18" s="24">
        <v>7</v>
      </c>
    </row>
    <row r="19" spans="2:8" x14ac:dyDescent="0.3">
      <c r="B19" s="24">
        <v>15</v>
      </c>
      <c r="C19" s="24" t="str">
        <v>Dice Rolls To Totals</v>
      </c>
      <c r="D19" s="25" t="str">
        <v>Dice Rolls To Totals (DRT)</v>
      </c>
      <c r="E19" s="25" t="str">
        <v>A-ZTraining</v>
      </c>
      <c r="F19" s="25" t="str">
        <v>Converts a column of dice rolls into a grid of roll totals, one column per roll</v>
      </c>
      <c r="G19" s="27">
        <v>1</v>
      </c>
      <c r="H19" s="24">
        <v>7</v>
      </c>
    </row>
    <row r="20" spans="2:8" x14ac:dyDescent="0.3">
      <c r="B20" s="24">
        <v>16</v>
      </c>
      <c r="C20" s="24" t="str">
        <v>Go To Bonus N</v>
      </c>
      <c r="D20" s="25" t="str">
        <v>Go To Bonus 1 (B1), Go To Bonus 2 (B2), Go To Bonus 3 (B3), Go To Bonus 4 (B4), Go To Bonus 5 (B5)</v>
      </c>
      <c r="E20" s="25" t="str">
        <v>A-ZTraining</v>
      </c>
      <c r="F20" s="25" t="str">
        <v>Jumps to Bonus N's heading on whichever sheet holds it (B1, B2, ...)</v>
      </c>
      <c r="G20" s="27">
        <v>1</v>
      </c>
      <c r="H20" s="24">
        <v>7</v>
      </c>
    </row>
    <row r="21" spans="2:8" x14ac:dyDescent="0.3">
      <c r="B21" s="24">
        <v>17</v>
      </c>
      <c r="C21" s="24" t="str">
        <v>Running Totals By Row</v>
      </c>
      <c r="D21" s="25" t="str">
        <v>Running Totals By Row (rt)</v>
      </c>
      <c r="E21" s="25" t="str">
        <v>Array Robot Vol 1</v>
      </c>
      <c r="F21" s="25" t="str">
        <v>Wraps the active array with the RunningTotalsByRow lambda</v>
      </c>
      <c r="G21" s="27">
        <v>1</v>
      </c>
      <c r="H21" s="24">
        <v>7</v>
      </c>
    </row>
    <row r="22" spans="2:8" x14ac:dyDescent="0.3">
      <c r="B22" s="24">
        <v>18</v>
      </c>
      <c r="C22" s="24" t="str">
        <v>Divide By X</v>
      </c>
      <c r="D22" s="25" t="str">
        <v>Divide by 2 (D2), Divide By Value (DBV)</v>
      </c>
      <c r="E22" s="25" t="str">
        <v>A-ZTraining</v>
      </c>
      <c r="F22" s="25" t="str">
        <v>Divides the active array by a number (Divide By Value, or fixed 2)</v>
      </c>
      <c r="G22" s="27">
        <v>2</v>
      </c>
      <c r="H22" s="24">
        <v>6</v>
      </c>
    </row>
    <row r="23" spans="2:8" ht="37.5" x14ac:dyDescent="0.3">
      <c r="B23" s="24">
        <v>19</v>
      </c>
      <c r="C23" s="24" t="str">
        <v>Combine With Array Above</v>
      </c>
      <c r="D23" s="25" t="str">
        <v>Multiply Array by Array Above (MAA), Multiply Array by Value 5 Cells Up (MA5U), Add Array to Array 2 Cells Above (AA2U)</v>
      </c>
      <c r="E23" s="25" t="str">
        <v>A-ZTraining</v>
      </c>
      <c r="F23" s="25" t="str">
        <v>Adds or multiplies the active array with an array or value a set number of cells above</v>
      </c>
      <c r="G23" s="27">
        <v>1</v>
      </c>
      <c r="H23" s="24">
        <v>6</v>
      </c>
    </row>
    <row r="24" spans="2:8" x14ac:dyDescent="0.3">
      <c r="B24" s="24">
        <v>20</v>
      </c>
      <c r="C24" s="24" t="str">
        <v>Keep / Drop Column Of Array</v>
      </c>
      <c r="D24" s="25" t="str">
        <v>Keep First Column Of Array (kfc), Remove First Column Of Array, Keep Last Column Of Array</v>
      </c>
      <c r="E24" s="25" t="str">
        <v>Array Robot Vol 1</v>
      </c>
      <c r="F24" s="25" t="str">
        <v>Keeps the first or last column of the active array, or drops the first</v>
      </c>
      <c r="G24" s="27">
        <v>1</v>
      </c>
      <c r="H24" s="24">
        <v>6</v>
      </c>
    </row>
    <row r="25" spans="2:8" x14ac:dyDescent="0.3">
      <c r="B25" s="24">
        <v>21</v>
      </c>
      <c r="C25" s="24" t="str">
        <v>Create Data Table</v>
      </c>
      <c r="D25" s="25" t="str">
        <v>Create Data Table from Array (DTA), Create Data Table (CDT), Run Data Table (RDT)</v>
      </c>
      <c r="E25" s="25" t="str">
        <v>A-ZTraining, CompBot</v>
      </c>
      <c r="F25" s="25" t="str">
        <v>Builds a data table block from the example calculation</v>
      </c>
      <c r="G25" s="27">
        <v>2</v>
      </c>
      <c r="H25" s="24">
        <v>5</v>
      </c>
    </row>
    <row r="26" spans="2:8" x14ac:dyDescent="0.3">
      <c r="B26" s="24">
        <v>22</v>
      </c>
      <c r="C26" s="24" t="str">
        <v>If Error Then Zero (0)</v>
      </c>
      <c r="D26" s="25" t="str">
        <v>If Error Then Zero (0) (E0)</v>
      </c>
      <c r="E26" s="25" t="str">
        <v>Array Robot Vol 1</v>
      </c>
      <c r="F26" s="25" t="str">
        <v>Replaces errors with a 0</v>
      </c>
      <c r="G26" s="27">
        <v>2</v>
      </c>
      <c r="H26" s="24">
        <v>5</v>
      </c>
    </row>
    <row r="27" spans="2:8" x14ac:dyDescent="0.3">
      <c r="B27" s="24">
        <v>23</v>
      </c>
      <c r="C27" s="24" t="str">
        <v>Round to 0</v>
      </c>
      <c r="D27" s="25" t="str">
        <v>Round to 0 (R0)</v>
      </c>
      <c r="E27" s="25" t="str">
        <v>CompBot</v>
      </c>
      <c r="F27" s="25" t="str">
        <v>Round to 0 decimal places</v>
      </c>
      <c r="G27" s="27">
        <v>1</v>
      </c>
      <c r="H27" s="24">
        <v>5</v>
      </c>
    </row>
    <row r="28" spans="2:8" x14ac:dyDescent="0.3">
      <c r="B28" s="24">
        <v>24</v>
      </c>
      <c r="C28" s="24" t="str">
        <v>Select Input And Remove Text</v>
      </c>
      <c r="D28" s="25" t="str">
        <v>Select Last Input And Remove (R-0), Select Input Pre1 And Remove (R-1)</v>
      </c>
      <c r="E28" s="25" t="str">
        <v>A-ZTraining</v>
      </c>
      <c r="F28" s="25" t="str">
        <v>Selects an input column and strips a unit such as km or hours</v>
      </c>
      <c r="G28" s="27">
        <v>1</v>
      </c>
      <c r="H28" s="24">
        <v>4</v>
      </c>
    </row>
    <row r="29" spans="2:8" x14ac:dyDescent="0.3">
      <c r="B29" s="24">
        <v>25</v>
      </c>
      <c r="C29" s="24" t="str">
        <v>Split Text By Semicolon</v>
      </c>
      <c r="D29" s="25" t="str">
        <v>Split Text By Semicolon (S;)</v>
      </c>
      <c r="E29" s="25" t="str">
        <v>A-ZTraining</v>
      </c>
      <c r="F29" s="25" t="str">
        <v>Splits text into columns by semicolon</v>
      </c>
      <c r="G29" s="27">
        <v>1</v>
      </c>
      <c r="H29" s="24">
        <v>4</v>
      </c>
    </row>
    <row r="30" spans="2:8" x14ac:dyDescent="0.3">
      <c r="B30" s="24">
        <v>26</v>
      </c>
      <c r="C30" s="24" t="str">
        <v>Add / Subtract X</v>
      </c>
      <c r="D30" s="25" t="str">
        <v>Subtract 1 (S1), Add Value (AVA)</v>
      </c>
      <c r="E30" s="25" t="str">
        <v>A-ZTraining</v>
      </c>
      <c r="F30" s="25" t="str">
        <v>Adds a number to, or subtracts one from, the active cell or array</v>
      </c>
      <c r="G30" s="27">
        <v>2</v>
      </c>
      <c r="H30" s="24">
        <v>3</v>
      </c>
    </row>
    <row r="31" spans="2:8" x14ac:dyDescent="0.3">
      <c r="B31" s="24">
        <v>27</v>
      </c>
      <c r="C31" s="24" t="str">
        <v>Link Answer Cell</v>
      </c>
      <c r="D31" s="25" t="str">
        <v>Link Answer Cell (ANS)</v>
      </c>
      <c r="E31" s="25" t="str">
        <v>A-ZTraining</v>
      </c>
      <c r="F31" s="25" t="str">
        <v>Links the data table ANSWER cell to the currently selected cell</v>
      </c>
      <c r="G31" s="27">
        <v>2</v>
      </c>
      <c r="H31" s="24">
        <v>3</v>
      </c>
    </row>
    <row r="32" spans="2:8" x14ac:dyDescent="0.3">
      <c r="B32" s="24">
        <v>28</v>
      </c>
      <c r="C32" s="24" t="str">
        <v>Max of Array</v>
      </c>
      <c r="D32" s="25" t="str">
        <v>Max of Array (MAX)</v>
      </c>
      <c r="E32" s="25" t="str">
        <v>Array Robot Vol 1</v>
      </c>
      <c r="F32" s="25" t="str">
        <v>Returns the maximum value of the array</v>
      </c>
      <c r="G32" s="27">
        <v>2</v>
      </c>
      <c r="H32" s="24">
        <v>3</v>
      </c>
    </row>
    <row r="33" spans="2:8" x14ac:dyDescent="0.3">
      <c r="B33" s="24">
        <v>29</v>
      </c>
      <c r="C33" s="24" t="str">
        <v>XMATCH with Array 2 Rows Up</v>
      </c>
      <c r="D33" s="25" t="str">
        <v>XMATCH with Array 2 Rows Up (M2U)</v>
      </c>
      <c r="E33" s="25" t="str">
        <v>A-ZTraining</v>
      </c>
      <c r="F33" s="25" t="str">
        <v>Finds XMATCH of values in current array with array 2 cells up (can be the spilled range)</v>
      </c>
      <c r="G33" s="27">
        <v>2</v>
      </c>
      <c r="H33" s="24">
        <v>3</v>
      </c>
    </row>
    <row r="34" spans="2:8" x14ac:dyDescent="0.3">
      <c r="B34" s="24">
        <v>30</v>
      </c>
      <c r="C34" s="24" t="str">
        <v>Count Unique Values In Array</v>
      </c>
      <c r="D34" s="25" t="str">
        <v>Count Unique Values In ArrayS (CU), Count Unique Values In Array (CU)</v>
      </c>
      <c r="E34" s="25" t="str">
        <v>A-ZTraining, Array Robot Vol 1</v>
      </c>
      <c r="F34" s="25" t="str">
        <v>Applies a COUNTEACHUNIQUEVALUE lambda to each selected array (copied from Array Robot)</v>
      </c>
      <c r="G34" s="27">
        <v>1</v>
      </c>
      <c r="H34" s="24">
        <v>3</v>
      </c>
    </row>
    <row r="35" spans="2:8" x14ac:dyDescent="0.3">
      <c r="B35" s="24">
        <v>31</v>
      </c>
      <c r="C35" s="24" t="str">
        <v>First Occurrence Flags</v>
      </c>
      <c r="D35" s="25" t="str">
        <v>First By Row (FOR), First By Alternating Row Pairs (FAR)</v>
      </c>
      <c r="E35" s="25" t="str">
        <v>A-ZTraining</v>
      </c>
      <c r="F35" s="25" t="str">
        <v>1 the first time each value appears in a row (or across alternating row pairs), 0 on repeats</v>
      </c>
      <c r="G35" s="27">
        <v>1</v>
      </c>
      <c r="H35" s="24">
        <v>3</v>
      </c>
    </row>
    <row r="36" spans="2:8" x14ac:dyDescent="0.3">
      <c r="B36" s="24">
        <v>32</v>
      </c>
      <c r="C36" s="24" t="str">
        <v>Invert Array</v>
      </c>
      <c r="D36" s="25" t="str">
        <v>Invert Array (INV)</v>
      </c>
      <c r="E36" s="25" t="str">
        <v>A-ZTraining</v>
      </c>
      <c r="F36" s="25" t="str">
        <v>Inverts all values in an array</v>
      </c>
      <c r="G36" s="27">
        <v>1</v>
      </c>
      <c r="H36" s="24">
        <v>3</v>
      </c>
    </row>
    <row r="37" spans="2:8" x14ac:dyDescent="0.3">
      <c r="B37" s="24">
        <v>33</v>
      </c>
      <c r="C37" s="24" t="str">
        <v>Remove Blank Rows and Columns</v>
      </c>
      <c r="D37" s="25" t="str">
        <v>Remove Blank Rows and Columns (RB)</v>
      </c>
      <c r="E37" s="25" t="str">
        <v>Array Robot Vol 1</v>
      </c>
      <c r="F37" s="25" t="str">
        <v>Removes the rows and columns that are blank or all zeroes</v>
      </c>
      <c r="G37" s="27">
        <v>1</v>
      </c>
      <c r="H37" s="24">
        <v>3</v>
      </c>
    </row>
    <row r="38" spans="2:8" x14ac:dyDescent="0.3">
      <c r="B38" s="24">
        <v>34</v>
      </c>
      <c r="C38" s="24" t="str">
        <v>Reshape to One (1) Column</v>
      </c>
      <c r="D38" s="25" t="str">
        <v>Reshape to One (1) Column (1C)</v>
      </c>
      <c r="E38" s="25" t="str">
        <v>Array Robot Vol 1</v>
      </c>
      <c r="F38" s="25" t="str">
        <v>Applies a TOCOL</v>
      </c>
      <c r="G38" s="27">
        <v>1</v>
      </c>
      <c r="H38" s="24">
        <v>3</v>
      </c>
    </row>
    <row r="39" spans="2:8" x14ac:dyDescent="0.3">
      <c r="B39" s="24">
        <v>35</v>
      </c>
      <c r="C39" s="24" t="str">
        <v>Save Answer To Bonus N</v>
      </c>
      <c r="D39" s="25" t="str">
        <v>Save Answer To Bonus 1 (AB1), Save Answer To Bonus 2 (AB2), Save Answer To Bonus 3 (AB3)</v>
      </c>
      <c r="E39" s="25" t="str">
        <v>A-ZTraining</v>
      </c>
      <c r="F39" s="25" t="str">
        <v>Links the active result into Bonus N's answer cell, goes there and copies it</v>
      </c>
      <c r="G39" s="27">
        <v>1</v>
      </c>
      <c r="H39" s="24">
        <v>3</v>
      </c>
    </row>
    <row r="40" spans="2:8" x14ac:dyDescent="0.3">
      <c r="B40" s="24">
        <v>36</v>
      </c>
      <c r="C40" s="24" t="str">
        <v>Create Calc Sheet</v>
      </c>
      <c r="D40" s="25" t="str">
        <v>Create Calc Sheet (CCS)</v>
      </c>
      <c r="E40" s="25" t="str">
        <v>A-ZTraining</v>
      </c>
      <c r="F40" s="25" t="str">
        <v>Creates a blank Calculation sheet for calculations</v>
      </c>
      <c r="G40" s="27">
        <v>2</v>
      </c>
      <c r="H40" s="24">
        <v>2</v>
      </c>
    </row>
    <row r="41" spans="2:8" x14ac:dyDescent="0.3">
      <c r="B41" s="24">
        <v>37</v>
      </c>
      <c r="C41" s="24" t="str">
        <v>Count Rows / Columns Of Array</v>
      </c>
      <c r="D41" s="25" t="str">
        <v>Count Columns Of ArrayS (CC), Count Rows Of Array (CR)</v>
      </c>
      <c r="E41" s="25" t="str">
        <v>A-ZTraining, Array Robot Vol 1</v>
      </c>
      <c r="F41" s="25" t="str">
        <v>Counts the rows or columns of the active array</v>
      </c>
      <c r="G41" s="27">
        <v>1</v>
      </c>
      <c r="H41" s="24">
        <v>2</v>
      </c>
    </row>
    <row r="42" spans="2:8" x14ac:dyDescent="0.3">
      <c r="B42" s="24">
        <v>38</v>
      </c>
      <c r="C42" s="24" t="str">
        <v>First Position By Row</v>
      </c>
      <c r="D42" s="25" t="str">
        <v>First Negative By Row (FNR), First Match By Row (FMR)</v>
      </c>
      <c r="E42" s="25" t="str">
        <v>A-ZTraining</v>
      </c>
      <c r="F42" s="25" t="str">
        <v>For each row, the position of the first negative value or the first match</v>
      </c>
      <c r="G42" s="27">
        <v>1</v>
      </c>
      <c r="H42" s="24">
        <v>2</v>
      </c>
    </row>
    <row r="43" spans="2:8" x14ac:dyDescent="0.3">
      <c r="B43" s="24">
        <v>39</v>
      </c>
      <c r="C43" s="24" t="str">
        <v>Insert Blank Row Between Rows</v>
      </c>
      <c r="D43" s="25" t="str">
        <v>Insert Blank Row Between Rows (IBR)</v>
      </c>
      <c r="E43" s="25" t="str">
        <v>A-ZTraining</v>
      </c>
      <c r="F43" s="25" t="str">
        <v>Doubles the height with a blank row after every row, so each answer lands on its game's first row</v>
      </c>
      <c r="G43" s="27">
        <v>1</v>
      </c>
      <c r="H43" s="24">
        <v>2</v>
      </c>
    </row>
    <row r="44" spans="2:8" x14ac:dyDescent="0.3">
      <c r="B44" s="24">
        <v>40</v>
      </c>
      <c r="C44" s="24" t="str">
        <v>Min / Max Of Row Pairs</v>
      </c>
      <c r="D44" s="25" t="str">
        <v>Max Of Row Pairs (MRP), Min Of Row Pairs (MNRP)</v>
      </c>
      <c r="E44" s="25" t="str">
        <v>A-ZTraining</v>
      </c>
      <c r="F44" s="25" t="str">
        <v>Collapses each pair of rows to the smaller or larger value</v>
      </c>
      <c r="G44" s="27">
        <v>1</v>
      </c>
      <c r="H44" s="24">
        <v>2</v>
      </c>
    </row>
    <row r="45" spans="2:8" x14ac:dyDescent="0.3">
      <c r="B45" s="24">
        <v>41</v>
      </c>
      <c r="C45" s="24" t="str">
        <v>Order Row Pairs By First Column</v>
      </c>
      <c r="D45" s="25" t="str">
        <v>Order Row Pairs By First Column (ORP)</v>
      </c>
      <c r="E45" s="25" t="str">
        <v>A-ZTraining</v>
      </c>
      <c r="F45" s="25" t="str">
        <v>Puts the row with the larger first-column value first in each row pair, ties keep order</v>
      </c>
      <c r="G45" s="27">
        <v>1</v>
      </c>
      <c r="H45" s="24">
        <v>2</v>
      </c>
    </row>
    <row r="46" spans="2:8" x14ac:dyDescent="0.3">
      <c r="B46" s="24">
        <v>42</v>
      </c>
      <c r="C46" s="24" t="str">
        <v>Paste As References</v>
      </c>
      <c r="D46" s="25" t="str">
        <v>Paste As References (PR)</v>
      </c>
      <c r="E46" s="25" t="str">
        <v>Formula Robot</v>
      </c>
      <c r="F46" s="25" t="str">
        <v>Pastes copied cells into selected cell as linked references</v>
      </c>
      <c r="G46" s="27">
        <v>1</v>
      </c>
      <c r="H46" s="24">
        <v>2</v>
      </c>
    </row>
    <row r="47" spans="2:8" x14ac:dyDescent="0.3">
      <c r="B47" s="24">
        <v>43</v>
      </c>
      <c r="C47" s="24" t="str">
        <v>Select Input Column</v>
      </c>
      <c r="D47" s="25" t="str">
        <v>Select Input Column (SIC)</v>
      </c>
      <c r="E47" s="25" t="str">
        <v>A-ZTraining</v>
      </c>
      <c r="F47" s="25" t="str">
        <v>Goes to the CaseInputs sheet and selects every value under a given header</v>
      </c>
      <c r="G47" s="27">
        <v>1</v>
      </c>
      <c r="H47" s="24">
        <v>2</v>
      </c>
    </row>
    <row r="48" spans="2:8" x14ac:dyDescent="0.3">
      <c r="B48" s="24">
        <v>44</v>
      </c>
      <c r="C48" s="24" t="str">
        <v>Select Last Input</v>
      </c>
      <c r="D48" s="25" t="str">
        <v>Select Last Input (LI)</v>
      </c>
      <c r="E48" s="25" t="str">
        <v>A-ZTraining</v>
      </c>
      <c r="F48" s="25" t="str">
        <v>Selects last input column</v>
      </c>
      <c r="G48" s="27">
        <v>1</v>
      </c>
      <c r="H48" s="24">
        <v>2</v>
      </c>
    </row>
    <row r="49" spans="2:8" x14ac:dyDescent="0.3">
      <c r="B49" s="24">
        <v>45</v>
      </c>
      <c r="C49" s="24" t="str">
        <v>Sum Array By Row</v>
      </c>
      <c r="D49" s="25" t="str">
        <v>Sum Array By Row</v>
      </c>
      <c r="E49" s="25" t="str">
        <v>Array Robot Vol 1</v>
      </c>
      <c r="F49" s="25" t="str">
        <v>Wraps with formula to return sum of each row</v>
      </c>
      <c r="G49" s="27">
        <v>1</v>
      </c>
      <c r="H49" s="24">
        <v>2</v>
      </c>
    </row>
    <row r="50" spans="2:8" x14ac:dyDescent="0.3">
      <c r="B50" s="24">
        <v>46</v>
      </c>
      <c r="C50" s="24" t="str">
        <v>XLOOKUP Value in Arrays to Left</v>
      </c>
      <c r="D50" s="25" t="str">
        <v>XLOOKUP Value in Arrays to Left (LL)</v>
      </c>
      <c r="E50" s="25" t="str">
        <v>A-ZTraining</v>
      </c>
      <c r="F50" s="25" t="str">
        <v>Looks up current cell value in array 1 cell to the left, returning values from array 2 cells to the left</v>
      </c>
      <c r="G50" s="27">
        <v>1</v>
      </c>
      <c r="H50" s="24">
        <v>2</v>
      </c>
    </row>
    <row r="51" spans="2:8" x14ac:dyDescent="0.3">
      <c r="B51" s="24">
        <v>47</v>
      </c>
      <c r="C51" s="24" t="str">
        <v>Compact Rows Left</v>
      </c>
      <c r="D51" s="25" t="str">
        <v>Compact Rows Left (CRL)</v>
      </c>
      <c r="E51" s="25" t="str">
        <v>A-ZTraining</v>
      </c>
      <c r="F51" s="25" t="str">
        <v>Drops zeros and blanks from each row and packs the rest left, padded to the original width</v>
      </c>
      <c r="G51" s="27">
        <v>1</v>
      </c>
      <c r="H51" s="24">
        <v>1</v>
      </c>
    </row>
    <row r="52" spans="2:8" x14ac:dyDescent="0.3">
      <c r="B52" s="24">
        <v>48</v>
      </c>
      <c r="C52" s="24" t="str">
        <v>Count Each Value In Range</v>
      </c>
      <c r="D52" s="25" t="str">
        <v>Count Each Value In Range (CER)</v>
      </c>
      <c r="E52" s="25" t="str">
        <v>A-ZTraining</v>
      </c>
      <c r="F52" s="25" t="str">
        <v>Replaces each value with how many cells of a range equal it (CompBot lambda CountMatches_byJaqKennedy)</v>
      </c>
      <c r="G52" s="27">
        <v>1</v>
      </c>
      <c r="H52" s="24">
        <v>1</v>
      </c>
    </row>
    <row r="53" spans="2:8" ht="37.5" x14ac:dyDescent="0.3">
      <c r="B53" s="24">
        <v>49</v>
      </c>
      <c r="C53" s="24" t="str">
        <v>Count Errors</v>
      </c>
      <c r="D53" s="25" t="str">
        <v>Count Errors (CE)</v>
      </c>
      <c r="E53" s="25" t="str">
        <v>A-ZTraining</v>
      </c>
      <c r="F53" s="25" t="str">
        <v>Counts errors in the spilled array</v>
      </c>
      <c r="G53" s="27">
        <v>1</v>
      </c>
      <c r="H53" s="24">
        <v>1</v>
      </c>
    </row>
    <row r="54" spans="2:8" x14ac:dyDescent="0.3">
      <c r="B54" s="24">
        <v>50</v>
      </c>
      <c r="C54" s="24" t="str">
        <v>Count Text Occurrences</v>
      </c>
      <c r="D54" s="25" t="str">
        <v>Count Text Occurrences (CTO)</v>
      </c>
      <c r="E54" s="25" t="str">
        <v>A-ZTraining</v>
      </c>
      <c r="F54" s="25" t="str">
        <v>Replaces each value with how many times a given text occurs inside it (CompBot lambda CountOcc_byHadynWiseman)</v>
      </c>
      <c r="G54" s="27">
        <v>1</v>
      </c>
      <c r="H54" s="24">
        <v>1</v>
      </c>
    </row>
    <row r="55" spans="2:8" ht="37.5" x14ac:dyDescent="0.3">
      <c r="B55" s="24">
        <v>51</v>
      </c>
      <c r="C55" s="24" t="str">
        <v>Create Case Inputs Sheet</v>
      </c>
      <c r="D55" s="25" t="str">
        <v>Create Case Inputs Sheet (CIS)</v>
      </c>
      <c r="E55" s="25" t="str">
        <v>CompBot</v>
      </c>
      <c r="F55" s="25" t="str">
        <v>Loads every game's inputs onto a CaseInputs sheet - examples excluded, both player rows of two-row games kept, columns matched by header across levels (detailed mode, from the active cell)</v>
      </c>
      <c r="G55" s="27">
        <v>1</v>
      </c>
      <c r="H55" s="24">
        <v>1</v>
      </c>
    </row>
    <row r="56" spans="2:8" ht="37.5" x14ac:dyDescent="0.3">
      <c r="B56" s="24">
        <v>52</v>
      </c>
      <c r="C56" s="24" t="str">
        <v>Get LEFT character</v>
      </c>
      <c r="D56" s="25" t="str">
        <v>Get LEFT character (L)</v>
      </c>
      <c r="E56" s="25" t="str">
        <v>A-ZTraining</v>
      </c>
      <c r="F56" s="25" t="str">
        <v>Applies LEFT function to current cell</v>
      </c>
      <c r="G56" s="27">
        <v>1</v>
      </c>
      <c r="H56" s="24">
        <v>1</v>
      </c>
    </row>
    <row r="57" spans="2:8" x14ac:dyDescent="0.3">
      <c r="B57" s="24">
        <v>53</v>
      </c>
      <c r="C57" s="24" t="str">
        <v>Get Sequence By Columns</v>
      </c>
      <c r="D57" s="25" t="str">
        <v>Get Sequence By Columns (SC)</v>
      </c>
      <c r="E57" s="25" t="str">
        <v>A-ZTraining</v>
      </c>
      <c r="F57" s="25" t="str">
        <v>Gets a Sequence by columns from 1 to the value in the active cell</v>
      </c>
      <c r="G57" s="27">
        <v>1</v>
      </c>
      <c r="H57" s="24">
        <v>1</v>
      </c>
    </row>
    <row r="58" spans="2:8" x14ac:dyDescent="0.3">
      <c r="B58" s="24">
        <v>54</v>
      </c>
      <c r="C58" s="24" t="str">
        <v>Import Lambda Library</v>
      </c>
      <c r="D58" s="25" t="str">
        <v>Import Lambda Library (IL)</v>
      </c>
      <c r="E58" s="25" t="str">
        <v>CompBot</v>
      </c>
      <c r="F58" s="25" t="str">
        <v>Imports CompBot's lambda collection into the case workbook</v>
      </c>
      <c r="G58" s="27">
        <v>1</v>
      </c>
      <c r="H58" s="24">
        <v>1</v>
      </c>
    </row>
    <row r="59" spans="2:8" x14ac:dyDescent="0.3">
      <c r="B59" s="24">
        <v>55</v>
      </c>
      <c r="C59" s="24" t="str">
        <v>Indirect</v>
      </c>
      <c r="D59" s="25" t="str">
        <v>Indirect (IND)</v>
      </c>
      <c r="E59" s="25" t="str">
        <v>A-ZTraining</v>
      </c>
      <c r="F59" s="25" t="str">
        <v>Gets indirect of current cell value</v>
      </c>
      <c r="G59" s="27">
        <v>1</v>
      </c>
      <c r="H59" s="24">
        <v>1</v>
      </c>
    </row>
    <row r="60" spans="2:8" x14ac:dyDescent="0.3">
      <c r="B60" s="24">
        <v>56</v>
      </c>
      <c r="C60" s="24" t="str">
        <v>Name Used Ranges On All Sheets</v>
      </c>
      <c r="D60" s="25" t="str">
        <v>Name Used Ranges On All Sheets (nur)</v>
      </c>
      <c r="E60" s="25" t="str">
        <v>MEWC Robot</v>
      </c>
      <c r="F60" s="25" t="str">
        <v>Names the used range on each sheet using a sanitised version of the sheet name</v>
      </c>
      <c r="G60" s="27">
        <v>1</v>
      </c>
      <c r="H60" s="24">
        <v>1</v>
      </c>
    </row>
    <row r="61" spans="2:8" x14ac:dyDescent="0.3">
      <c r="B61" s="24">
        <v>57</v>
      </c>
      <c r="C61" s="24" t="str">
        <v>Paste Filter Array By Copied Cells in Row 1</v>
      </c>
      <c r="D61" s="25" t="str">
        <v>Paste Filter Array By Copied Cells in Row 1 (PFA)</v>
      </c>
      <c r="E61" s="25" t="str">
        <v>A-ZTraining</v>
      </c>
      <c r="F61" s="25" t="str">
        <v>Filters each cell in selection, where first row of the cell = each cell of clipboard</v>
      </c>
      <c r="G61" s="27">
        <v>1</v>
      </c>
      <c r="H61" s="24">
        <v>1</v>
      </c>
    </row>
    <row r="62" spans="2:8" x14ac:dyDescent="0.3">
      <c r="B62" s="24">
        <v>58</v>
      </c>
      <c r="C62" s="24" t="str">
        <v>Paste Join by Semicolon</v>
      </c>
      <c r="D62" s="25" t="str">
        <v>Paste Join by Semicolon (PJ;)</v>
      </c>
      <c r="E62" s="25" t="str">
        <v>A-ZTraining</v>
      </c>
      <c r="F62" s="25" t="str">
        <v>Creates a TEXTJOIN by ; with the clipboard range</v>
      </c>
      <c r="G62" s="27">
        <v>1</v>
      </c>
      <c r="H62" s="24">
        <v>1</v>
      </c>
    </row>
    <row r="63" spans="2:8" x14ac:dyDescent="0.3">
      <c r="B63" s="24">
        <v>59</v>
      </c>
      <c r="C63" s="24" t="str">
        <v>Running Count Of Each Value By Row</v>
      </c>
      <c r="D63" s="25" t="str">
        <v>Running Count Of Each Value By Row (RCR)</v>
      </c>
      <c r="E63" s="25" t="str">
        <v>A-ZTraining</v>
      </c>
      <c r="F63" s="25" t="str">
        <v>Replaces each value with how many times it has appeared so far in its row</v>
      </c>
      <c r="G63" s="27">
        <v>1</v>
      </c>
      <c r="H63" s="24">
        <v>1</v>
      </c>
    </row>
    <row r="64" spans="2:8" x14ac:dyDescent="0.3">
      <c r="B64" s="24">
        <v>60</v>
      </c>
      <c r="C64" s="24" t="str">
        <v>Subtract Array From Value</v>
      </c>
      <c r="D64" s="25" t="str">
        <v>Subtract Array From Value (SAV)</v>
      </c>
      <c r="E64" s="25" t="str">
        <v>A-ZTraining</v>
      </c>
      <c r="F64" s="25" t="str">
        <v>Subtracts the active array from a starting value</v>
      </c>
      <c r="G64" s="27">
        <v>1</v>
      </c>
      <c r="H64" s="24">
        <v>1</v>
      </c>
    </row>
    <row r="65" spans="2:8" x14ac:dyDescent="0.3">
      <c r="B65" s="24">
        <v>61</v>
      </c>
      <c r="C65" s="24" t="str">
        <v>Sum by Step (step last)</v>
      </c>
      <c r="D65" s="25" t="str">
        <v>Sum by Step (step last)</v>
      </c>
      <c r="E65" s="25" t="str">
        <v>A-ZTraining</v>
      </c>
      <c r="F65" s="25" t="str">
        <v>Cumulative sum of steps (gets unique list in last column and totals a cumulative sum of first column)</v>
      </c>
      <c r="G65" s="27">
        <v>1</v>
      </c>
      <c r="H65" s="24">
        <v>1</v>
      </c>
    </row>
    <row r="66" spans="2:8" x14ac:dyDescent="0.3">
      <c r="B66" s="24">
        <v>62</v>
      </c>
      <c r="C66" s="24" t="str">
        <v>Transpose Array</v>
      </c>
      <c r="D66" s="25" t="str">
        <v>Transpose Array (T)</v>
      </c>
      <c r="E66" s="25" t="str">
        <v>Array Robot Vol 1</v>
      </c>
      <c r="F66" s="25" t="str">
        <v>Applies TRANSPOSE to current array(s)</v>
      </c>
      <c r="G66" s="27">
        <v>1</v>
      </c>
      <c r="H66" s="24">
        <v>1</v>
      </c>
    </row>
    <row r="67" spans="2:8" ht="37.5" x14ac:dyDescent="0.3">
      <c r="B67" s="24">
        <v>63</v>
      </c>
      <c r="C67" s="24" t="str">
        <v>Wrap in UNIQUE</v>
      </c>
      <c r="D67" s="25" t="str">
        <v>Wrap in UNIQUE (U)</v>
      </c>
      <c r="E67" s="25" t="str">
        <v>CompBot</v>
      </c>
      <c r="F67" s="25" t="str">
        <v>Applies UNIQUE to current array(s)</v>
      </c>
      <c r="G67" s="27">
        <v>1</v>
      </c>
      <c r="H67" s="24">
        <v>1</v>
      </c>
    </row>
    <row r="68" spans="2:8" x14ac:dyDescent="0.3">
      <c r="B68" s="24"/>
      <c r="C68" s="24"/>
      <c r="D68" s="25"/>
      <c r="E68" s="25"/>
      <c r="F68" s="25"/>
      <c r="G68" s="27"/>
      <c r="H68" s="24"/>
    </row>
    <row r="69" spans="2:8" x14ac:dyDescent="0.3">
      <c r="B69" s="24"/>
      <c r="C69" s="24"/>
      <c r="D69" s="25"/>
      <c r="E69" s="25"/>
      <c r="F69" s="25"/>
      <c r="G69" s="27"/>
      <c r="H69" s="24"/>
    </row>
    <row r="70" spans="2:8" x14ac:dyDescent="0.3">
      <c r="B70" s="24"/>
      <c r="C70" s="24"/>
      <c r="D70" s="25"/>
      <c r="E70" s="25"/>
      <c r="F70" s="25"/>
      <c r="G70" s="27"/>
      <c r="H70" s="24"/>
    </row>
    <row r="71" spans="2:8" x14ac:dyDescent="0.3">
      <c r="B71" s="24"/>
      <c r="C71" s="24"/>
      <c r="D71" s="25"/>
      <c r="E71" s="25"/>
      <c r="F71" s="25"/>
      <c r="G71" s="27"/>
      <c r="H71" s="24"/>
    </row>
    <row r="72" spans="2:8" x14ac:dyDescent="0.3">
      <c r="B72" s="24"/>
      <c r="C72" s="24"/>
      <c r="D72" s="25"/>
      <c r="E72" s="25"/>
      <c r="F72" s="25"/>
      <c r="G72" s="27"/>
      <c r="H72" s="24"/>
    </row>
    <row r="73" spans="2:8" x14ac:dyDescent="0.3">
      <c r="B73" s="24"/>
      <c r="C73" s="24"/>
      <c r="D73" s="25"/>
      <c r="E73" s="25"/>
      <c r="F73" s="25"/>
      <c r="G73" s="27"/>
      <c r="H73" s="24"/>
    </row>
    <row r="74" spans="2:8" x14ac:dyDescent="0.3">
      <c r="B74" s="24"/>
      <c r="C74" s="24"/>
      <c r="D74" s="25"/>
      <c r="E74" s="25"/>
      <c r="F74" s="25"/>
      <c r="G74" s="27"/>
      <c r="H74" s="24"/>
    </row>
    <row r="75" spans="2:8" x14ac:dyDescent="0.3">
      <c r="B75" s="24"/>
      <c r="C75" s="24"/>
      <c r="D75" s="25"/>
      <c r="E75" s="25"/>
      <c r="F75" s="25"/>
      <c r="G75" s="27"/>
      <c r="H75" s="24"/>
    </row>
    <row r="76" spans="2:8" x14ac:dyDescent="0.3">
      <c r="B76" s="24"/>
      <c r="C76" s="24"/>
      <c r="D76" s="25"/>
      <c r="E76" s="25"/>
      <c r="F76" s="25"/>
      <c r="G76" s="27"/>
      <c r="H76" s="24"/>
    </row>
    <row r="77" spans="2:8" x14ac:dyDescent="0.3">
      <c r="B77" s="24"/>
      <c r="C77" s="24"/>
      <c r="D77" s="25"/>
      <c r="E77" s="25"/>
      <c r="F77" s="25"/>
      <c r="G77" s="27"/>
      <c r="H77" s="24"/>
    </row>
    <row r="78" spans="2:8" x14ac:dyDescent="0.3">
      <c r="B78" s="24"/>
      <c r="C78" s="24"/>
      <c r="D78" s="25"/>
      <c r="E78" s="25"/>
      <c r="F78" s="25"/>
      <c r="G78" s="27"/>
      <c r="H78" s="24"/>
    </row>
    <row r="79" spans="2:8" x14ac:dyDescent="0.3">
      <c r="B79" s="24"/>
      <c r="C79" s="24"/>
      <c r="D79" s="25"/>
      <c r="E79" s="25"/>
      <c r="F79" s="25"/>
      <c r="G79" s="27"/>
      <c r="H79" s="24"/>
    </row>
    <row r="80" spans="2:8" x14ac:dyDescent="0.3">
      <c r="B80" s="24"/>
      <c r="C80" s="24"/>
      <c r="D80" s="25"/>
      <c r="E80" s="25"/>
      <c r="F80" s="25"/>
      <c r="G80" s="27"/>
      <c r="H80" s="24"/>
    </row>
    <row r="81" spans="2:8" x14ac:dyDescent="0.3">
      <c r="B81" s="24"/>
      <c r="C81" s="24"/>
      <c r="D81" s="25"/>
      <c r="E81" s="25"/>
      <c r="F81" s="25"/>
      <c r="G81" s="27"/>
      <c r="H81" s="24"/>
    </row>
    <row r="82" spans="2:8" x14ac:dyDescent="0.3">
      <c r="B82" s="24"/>
      <c r="C82" s="24"/>
      <c r="D82" s="25"/>
      <c r="E82" s="25"/>
      <c r="F82" s="25"/>
      <c r="G82" s="27"/>
      <c r="H82" s="24"/>
    </row>
    <row r="83" spans="2:8" x14ac:dyDescent="0.3">
      <c r="B83" s="24"/>
      <c r="C83" s="24"/>
      <c r="D83" s="25"/>
      <c r="E83" s="25"/>
      <c r="F83" s="25"/>
      <c r="G83" s="27"/>
      <c r="H83" s="24"/>
    </row>
    <row r="84" spans="2:8" x14ac:dyDescent="0.3">
      <c r="B84" s="24"/>
      <c r="C84" s="24"/>
      <c r="D84" s="25"/>
      <c r="E84" s="25"/>
      <c r="F84" s="25"/>
      <c r="G84" s="27"/>
      <c r="H84" s="24"/>
    </row>
    <row r="85" spans="2:8" x14ac:dyDescent="0.3">
      <c r="B85" s="24"/>
      <c r="C85" s="24"/>
      <c r="D85" s="25"/>
      <c r="E85" s="25"/>
      <c r="F85" s="25"/>
      <c r="G85" s="27"/>
      <c r="H85" s="24"/>
    </row>
    <row r="86" spans="2:8" x14ac:dyDescent="0.3">
      <c r="B86" s="24"/>
      <c r="C86" s="24"/>
      <c r="D86" s="25"/>
      <c r="E86" s="25"/>
      <c r="F86" s="25"/>
      <c r="G86" s="27"/>
      <c r="H86" s="24"/>
    </row>
    <row r="87" spans="2:8" x14ac:dyDescent="0.3">
      <c r="B87" s="24"/>
      <c r="C87" s="24"/>
      <c r="D87" s="25"/>
      <c r="E87" s="25"/>
      <c r="F87" s="25"/>
      <c r="G87" s="27"/>
      <c r="H87" s="24"/>
    </row>
    <row r="88" spans="2:8" x14ac:dyDescent="0.3">
      <c r="B88" s="24"/>
      <c r="C88" s="24"/>
      <c r="D88" s="25"/>
      <c r="E88" s="25"/>
      <c r="F88" s="25"/>
      <c r="G88" s="27"/>
      <c r="H88" s="24"/>
    </row>
    <row r="89" spans="2:8" x14ac:dyDescent="0.3">
      <c r="B89" s="24"/>
      <c r="C89" s="24"/>
      <c r="D89" s="25"/>
      <c r="E89" s="25"/>
      <c r="F89" s="25"/>
      <c r="G89" s="27"/>
      <c r="H89" s="24"/>
    </row>
    <row r="90" spans="2:8" x14ac:dyDescent="0.3">
      <c r="B90" s="24"/>
      <c r="C90" s="24"/>
      <c r="D90" s="25"/>
      <c r="E90" s="25"/>
      <c r="F90" s="25"/>
      <c r="G90" s="27"/>
      <c r="H90" s="24"/>
    </row>
    <row r="91" spans="2:8" x14ac:dyDescent="0.3">
      <c r="B91" s="24"/>
      <c r="C91" s="24"/>
      <c r="D91" s="25"/>
      <c r="E91" s="25"/>
      <c r="F91" s="25"/>
      <c r="G91" s="27"/>
      <c r="H91" s="24"/>
    </row>
    <row r="92" spans="2:8" x14ac:dyDescent="0.3">
      <c r="B92" s="24"/>
      <c r="C92" s="24"/>
      <c r="D92" s="25"/>
      <c r="E92" s="25"/>
      <c r="F92" s="25"/>
      <c r="G92" s="27"/>
      <c r="H92" s="24"/>
    </row>
    <row r="93" spans="2:8" x14ac:dyDescent="0.3">
      <c r="B93" s="24"/>
      <c r="C93" s="24"/>
      <c r="D93" s="25"/>
      <c r="E93" s="25"/>
      <c r="F93" s="25"/>
      <c r="G93" s="27"/>
      <c r="H93" s="24"/>
    </row>
    <row r="94" spans="2:8" x14ac:dyDescent="0.3">
      <c r="B94" s="24"/>
      <c r="C94" s="24"/>
      <c r="D94" s="25"/>
      <c r="E94" s="25"/>
      <c r="F94" s="25"/>
      <c r="G94" s="27"/>
      <c r="H94" s="24"/>
    </row>
    <row r="95" spans="2:8" x14ac:dyDescent="0.3">
      <c r="B95" s="24"/>
      <c r="C95" s="24"/>
      <c r="D95" s="25"/>
      <c r="E95" s="25"/>
      <c r="F95" s="25"/>
      <c r="G95" s="27"/>
      <c r="H95" s="24"/>
    </row>
    <row r="96" spans="2:8" x14ac:dyDescent="0.3">
      <c r="B96" s="24"/>
      <c r="C96" s="24"/>
      <c r="D96" s="25"/>
      <c r="E96" s="25"/>
      <c r="F96" s="25"/>
      <c r="G96" s="27"/>
      <c r="H96" s="24"/>
    </row>
    <row r="97" spans="2:8" x14ac:dyDescent="0.3">
      <c r="B97" s="24"/>
      <c r="C97" s="24"/>
      <c r="D97" s="25"/>
      <c r="E97" s="25"/>
      <c r="F97" s="25"/>
      <c r="G97" s="27"/>
      <c r="H97" s="24"/>
    </row>
    <row r="98" spans="2:8" x14ac:dyDescent="0.3">
      <c r="B98" s="24"/>
      <c r="C98" s="24"/>
      <c r="D98" s="25"/>
      <c r="E98" s="25"/>
      <c r="F98" s="25"/>
      <c r="G98" s="27"/>
      <c r="H98" s="24"/>
    </row>
    <row r="99" spans="2:8" x14ac:dyDescent="0.3">
      <c r="B99" s="24"/>
      <c r="C99" s="24"/>
      <c r="D99" s="25"/>
      <c r="E99" s="25"/>
      <c r="F99" s="25"/>
      <c r="G99" s="27"/>
      <c r="H99" s="24"/>
    </row>
    <row r="100" spans="2:8" x14ac:dyDescent="0.3">
      <c r="B100" s="24"/>
      <c r="C100" s="24"/>
      <c r="D100" s="25"/>
      <c r="E100" s="25"/>
      <c r="F100" s="25"/>
      <c r="G100" s="27"/>
      <c r="H100" s="24"/>
    </row>
    <row r="101" spans="2:8" x14ac:dyDescent="0.3">
      <c r="B101" s="24"/>
      <c r="C101" s="24"/>
      <c r="D101" s="25"/>
      <c r="E101" s="25"/>
      <c r="F101" s="25"/>
      <c r="G101" s="27"/>
      <c r="H101" s="24"/>
    </row>
    <row r="102" spans="2:8" x14ac:dyDescent="0.3">
      <c r="B102" s="24"/>
      <c r="C102" s="24"/>
      <c r="D102" s="25"/>
      <c r="E102" s="25"/>
      <c r="F102" s="25"/>
      <c r="G102" s="27"/>
      <c r="H102" s="24"/>
    </row>
    <row r="103" spans="2:8" x14ac:dyDescent="0.3">
      <c r="B103" s="24"/>
      <c r="C103" s="24"/>
      <c r="D103" s="25"/>
      <c r="E103" s="25"/>
      <c r="F103" s="25"/>
      <c r="G103" s="27"/>
      <c r="H103" s="24"/>
    </row>
    <row r="104" spans="2:8" x14ac:dyDescent="0.3">
      <c r="B104" s="24"/>
      <c r="C104" s="24"/>
      <c r="D104" s="25"/>
      <c r="E104" s="25"/>
      <c r="F104" s="25"/>
      <c r="G104" s="27"/>
      <c r="H104" s="24"/>
    </row>
    <row r="105" spans="2:8" x14ac:dyDescent="0.3">
      <c r="B105" s="24"/>
      <c r="C105" s="24"/>
      <c r="D105" s="25"/>
      <c r="E105" s="25"/>
      <c r="F105" s="25"/>
      <c r="G105" s="27"/>
      <c r="H105" s="24"/>
    </row>
    <row r="106" spans="2:8" x14ac:dyDescent="0.3">
      <c r="B106" s="24"/>
      <c r="C106" s="24"/>
      <c r="D106" s="25"/>
      <c r="E106" s="25"/>
      <c r="F106" s="25"/>
      <c r="G106" s="27"/>
      <c r="H106" s="24"/>
    </row>
    <row r="107" spans="2:8" x14ac:dyDescent="0.3">
      <c r="B107" s="24"/>
      <c r="C107" s="24"/>
      <c r="D107" s="25"/>
      <c r="E107" s="25"/>
      <c r="F107" s="25"/>
      <c r="G107" s="27"/>
      <c r="H107" s="24"/>
    </row>
    <row r="108" spans="2:8" x14ac:dyDescent="0.3">
      <c r="B108" s="24"/>
      <c r="C108" s="24"/>
      <c r="D108" s="25"/>
      <c r="E108" s="25"/>
      <c r="F108" s="25"/>
      <c r="G108" s="27"/>
      <c r="H108" s="24"/>
    </row>
    <row r="109" spans="2:8" x14ac:dyDescent="0.3">
      <c r="B109" s="24"/>
      <c r="C109" s="24"/>
      <c r="D109" s="25"/>
      <c r="E109" s="25"/>
      <c r="F109" s="25"/>
      <c r="G109" s="27"/>
      <c r="H109" s="24"/>
    </row>
    <row r="110" spans="2:8" x14ac:dyDescent="0.3">
      <c r="B110" s="24"/>
      <c r="C110" s="24"/>
      <c r="D110" s="25"/>
      <c r="E110" s="25"/>
      <c r="F110" s="25"/>
      <c r="G110" s="27"/>
      <c r="H110" s="24"/>
    </row>
    <row r="111" spans="2:8" x14ac:dyDescent="0.3">
      <c r="B111" s="24"/>
      <c r="C111" s="24"/>
      <c r="D111" s="25"/>
      <c r="E111" s="25"/>
      <c r="F111" s="25"/>
      <c r="G111" s="27"/>
      <c r="H111" s="24"/>
    </row>
    <row r="112" spans="2:8" x14ac:dyDescent="0.3">
      <c r="B112" s="24"/>
      <c r="C112" s="24"/>
      <c r="D112" s="25"/>
      <c r="E112" s="25"/>
      <c r="F112" s="25"/>
      <c r="G112" s="27"/>
      <c r="H112" s="24"/>
    </row>
    <row r="113" spans="2:8" x14ac:dyDescent="0.3">
      <c r="B113" s="24"/>
      <c r="C113" s="24"/>
      <c r="D113" s="25"/>
      <c r="E113" s="25"/>
      <c r="F113" s="25"/>
      <c r="G113" s="27"/>
      <c r="H113" s="24"/>
    </row>
    <row r="114" spans="2:8" x14ac:dyDescent="0.3">
      <c r="B114" s="24"/>
      <c r="C114" s="24"/>
      <c r="D114" s="25"/>
      <c r="E114" s="25"/>
      <c r="F114" s="25"/>
      <c r="G114" s="27"/>
      <c r="H114" s="24"/>
    </row>
    <row r="115" spans="2:8" x14ac:dyDescent="0.3">
      <c r="B115" s="24"/>
      <c r="C115" s="24"/>
      <c r="D115" s="25"/>
      <c r="E115" s="25"/>
      <c r="F115" s="25"/>
      <c r="G115" s="27"/>
      <c r="H115" s="24"/>
    </row>
    <row r="116" spans="2:8" x14ac:dyDescent="0.3">
      <c r="B116" s="24"/>
      <c r="C116" s="24"/>
      <c r="D116" s="25"/>
      <c r="E116" s="25"/>
      <c r="F116" s="25"/>
      <c r="G116" s="27"/>
      <c r="H116" s="24"/>
    </row>
    <row r="117" spans="2:8" x14ac:dyDescent="0.3">
      <c r="B117" s="24"/>
      <c r="C117" s="24"/>
      <c r="D117" s="25"/>
      <c r="E117" s="25"/>
      <c r="F117" s="25"/>
      <c r="G117" s="27"/>
      <c r="H117" s="24"/>
    </row>
    <row r="118" spans="2:8" x14ac:dyDescent="0.3">
      <c r="B118" s="24"/>
      <c r="C118" s="24"/>
      <c r="D118" s="25"/>
      <c r="E118" s="25"/>
      <c r="F118" s="25"/>
      <c r="G118" s="27"/>
      <c r="H118" s="24"/>
    </row>
    <row r="119" spans="2:8" x14ac:dyDescent="0.3">
      <c r="B119" s="24"/>
      <c r="C119" s="24"/>
      <c r="D119" s="25"/>
      <c r="E119" s="25"/>
      <c r="F119" s="25"/>
      <c r="G119" s="27"/>
      <c r="H119" s="24"/>
    </row>
    <row r="120" spans="2:8" x14ac:dyDescent="0.3">
      <c r="B120" s="24"/>
      <c r="C120" s="24"/>
      <c r="D120" s="25"/>
      <c r="E120" s="25"/>
      <c r="F120" s="25"/>
      <c r="G120" s="27"/>
      <c r="H120" s="24"/>
    </row>
    <row r="121" spans="2:8" x14ac:dyDescent="0.3">
      <c r="B121" s="24"/>
      <c r="C121" s="24"/>
      <c r="D121" s="25"/>
      <c r="E121" s="25"/>
      <c r="F121" s="25"/>
      <c r="G121" s="27"/>
      <c r="H121" s="24"/>
    </row>
    <row r="122" spans="2:8" x14ac:dyDescent="0.3">
      <c r="B122" s="24"/>
      <c r="C122" s="24"/>
      <c r="D122" s="25"/>
      <c r="E122" s="25"/>
      <c r="F122" s="25"/>
      <c r="G122" s="27"/>
      <c r="H122" s="24"/>
    </row>
    <row r="123" spans="2:8" x14ac:dyDescent="0.3">
      <c r="B123" s="24"/>
      <c r="C123" s="24"/>
      <c r="D123" s="25"/>
      <c r="E123" s="25"/>
      <c r="F123" s="25"/>
      <c r="G123" s="27"/>
      <c r="H123" s="24"/>
    </row>
    <row r="124" spans="2:8" x14ac:dyDescent="0.3">
      <c r="B124" s="24"/>
      <c r="C124" s="24"/>
      <c r="D124" s="25"/>
      <c r="E124" s="25"/>
      <c r="F124" s="25"/>
      <c r="G124" s="27"/>
      <c r="H124" s="24"/>
    </row>
    <row r="125" spans="2:8" x14ac:dyDescent="0.3">
      <c r="B125" s="24"/>
      <c r="C125" s="24"/>
      <c r="D125" s="25"/>
      <c r="E125" s="25"/>
      <c r="F125" s="25"/>
      <c r="G125" s="27"/>
      <c r="H125" s="24"/>
    </row>
    <row r="126" spans="2:8" x14ac:dyDescent="0.3">
      <c r="B126" s="24"/>
      <c r="C126" s="24"/>
      <c r="D126" s="25"/>
      <c r="E126" s="25"/>
      <c r="F126" s="25"/>
      <c r="G126" s="27"/>
      <c r="H126" s="24"/>
    </row>
    <row r="127" spans="2:8" x14ac:dyDescent="0.3">
      <c r="B127" s="24"/>
      <c r="C127" s="24"/>
      <c r="D127" s="25"/>
      <c r="E127" s="25"/>
      <c r="F127" s="25"/>
      <c r="G127" s="27"/>
      <c r="H127" s="24"/>
    </row>
    <row r="128" spans="2:8" x14ac:dyDescent="0.3">
      <c r="B128" s="24"/>
      <c r="C128" s="24"/>
      <c r="D128" s="25"/>
      <c r="E128" s="25"/>
      <c r="F128" s="25"/>
      <c r="G128" s="27"/>
      <c r="H128" s="24"/>
    </row>
    <row r="129" spans="2:8" x14ac:dyDescent="0.3">
      <c r="B129" s="24"/>
      <c r="C129" s="24"/>
      <c r="D129" s="25"/>
      <c r="E129" s="25"/>
      <c r="F129" s="25"/>
      <c r="G129" s="27"/>
      <c r="H129" s="24"/>
    </row>
    <row r="130" spans="2:8" x14ac:dyDescent="0.3">
      <c r="B130" s="24"/>
      <c r="C130" s="24"/>
      <c r="D130" s="25"/>
      <c r="E130" s="25"/>
      <c r="F130" s="25"/>
      <c r="G130" s="27"/>
      <c r="H130" s="24"/>
    </row>
    <row r="131" spans="2:8" x14ac:dyDescent="0.3">
      <c r="B131" s="24"/>
      <c r="C131" s="24"/>
      <c r="D131" s="25"/>
      <c r="E131" s="25"/>
      <c r="F131" s="25"/>
      <c r="G131" s="27"/>
      <c r="H131" s="24"/>
    </row>
    <row r="132" spans="2:8" x14ac:dyDescent="0.3">
      <c r="B132" s="24"/>
      <c r="C132" s="24"/>
      <c r="D132" s="25"/>
      <c r="E132" s="25"/>
      <c r="F132" s="25"/>
      <c r="G132" s="27"/>
      <c r="H132" s="24"/>
    </row>
    <row r="133" spans="2:8" x14ac:dyDescent="0.3">
      <c r="B133" s="24"/>
      <c r="C133" s="24"/>
      <c r="D133" s="25"/>
      <c r="E133" s="25"/>
      <c r="F133" s="25"/>
      <c r="G133" s="27"/>
      <c r="H133" s="24"/>
    </row>
    <row r="134" spans="2:8" x14ac:dyDescent="0.3">
      <c r="B134" s="24"/>
      <c r="C134" s="24"/>
      <c r="D134" s="25"/>
      <c r="E134" s="25"/>
      <c r="F134" s="25"/>
      <c r="G134" s="27"/>
      <c r="H134" s="24"/>
    </row>
    <row r="135" spans="2:8" x14ac:dyDescent="0.3">
      <c r="B135" s="24"/>
      <c r="C135" s="24"/>
      <c r="D135" s="25"/>
      <c r="E135" s="25"/>
      <c r="F135" s="25"/>
      <c r="G135" s="27"/>
      <c r="H135" s="24"/>
    </row>
    <row r="136" spans="2:8" x14ac:dyDescent="0.3">
      <c r="B136" s="24"/>
      <c r="C136" s="24"/>
      <c r="D136" s="25"/>
      <c r="E136" s="25"/>
      <c r="F136" s="25"/>
      <c r="G136" s="27"/>
      <c r="H136" s="24"/>
    </row>
    <row r="137" spans="2:8" x14ac:dyDescent="0.3">
      <c r="B137" s="24"/>
      <c r="C137" s="24"/>
      <c r="D137" s="25"/>
      <c r="E137" s="25"/>
      <c r="F137" s="25"/>
      <c r="G137" s="27"/>
      <c r="H137" s="24"/>
    </row>
    <row r="138" spans="2:8" x14ac:dyDescent="0.3">
      <c r="B138" s="24"/>
      <c r="C138" s="24"/>
      <c r="D138" s="25"/>
      <c r="E138" s="25"/>
      <c r="F138" s="25"/>
      <c r="G138" s="27"/>
      <c r="H138" s="24"/>
    </row>
    <row r="139" spans="2:8" x14ac:dyDescent="0.3">
      <c r="B139" s="24"/>
      <c r="C139" s="24"/>
      <c r="D139" s="25"/>
      <c r="E139" s="25"/>
      <c r="F139" s="25"/>
      <c r="G139" s="27"/>
      <c r="H139" s="24"/>
    </row>
    <row r="140" spans="2:8" x14ac:dyDescent="0.3">
      <c r="B140" s="24"/>
      <c r="C140" s="24"/>
      <c r="D140" s="25"/>
      <c r="E140" s="25"/>
      <c r="F140" s="25"/>
      <c r="G140" s="27"/>
      <c r="H140" s="24"/>
    </row>
    <row r="141" spans="2:8" x14ac:dyDescent="0.3">
      <c r="B141" s="24"/>
      <c r="C141" s="24"/>
      <c r="D141" s="25"/>
      <c r="E141" s="25"/>
      <c r="F141" s="25"/>
      <c r="G141" s="27"/>
      <c r="H141" s="24"/>
    </row>
    <row r="142" spans="2:8" x14ac:dyDescent="0.3">
      <c r="B142" s="24"/>
      <c r="C142" s="24"/>
      <c r="D142" s="25"/>
      <c r="E142" s="25"/>
      <c r="F142" s="25"/>
      <c r="G142" s="27"/>
      <c r="H142" s="24"/>
    </row>
    <row r="143" spans="2:8" x14ac:dyDescent="0.3">
      <c r="B143" s="24"/>
      <c r="C143" s="24"/>
      <c r="D143" s="25"/>
      <c r="E143" s="25"/>
      <c r="F143" s="25"/>
      <c r="G143" s="27"/>
      <c r="H143" s="24"/>
    </row>
    <row r="144" spans="2:8" x14ac:dyDescent="0.3">
      <c r="B144" s="24"/>
      <c r="C144" s="24"/>
      <c r="D144" s="25"/>
      <c r="E144" s="25"/>
      <c r="F144" s="25"/>
      <c r="G144" s="27"/>
      <c r="H144" s="24"/>
    </row>
    <row r="145" spans="2:8" x14ac:dyDescent="0.3">
      <c r="B145" s="24"/>
      <c r="C145" s="24"/>
      <c r="D145" s="25"/>
      <c r="E145" s="25"/>
      <c r="F145" s="25"/>
      <c r="G145" s="27"/>
      <c r="H145" s="24"/>
    </row>
    <row r="146" spans="2:8" x14ac:dyDescent="0.3">
      <c r="B146" s="24"/>
      <c r="C146" s="24"/>
      <c r="D146" s="25"/>
      <c r="E146" s="25"/>
      <c r="F146" s="25"/>
      <c r="G146" s="27"/>
      <c r="H146" s="24"/>
    </row>
    <row r="147" spans="2:8" x14ac:dyDescent="0.3">
      <c r="B147" s="24"/>
      <c r="C147" s="24"/>
      <c r="D147" s="25"/>
      <c r="E147" s="25"/>
      <c r="F147" s="25"/>
      <c r="G147" s="27"/>
      <c r="H147" s="24"/>
    </row>
    <row r="148" spans="2:8" x14ac:dyDescent="0.3">
      <c r="B148" s="24"/>
      <c r="C148" s="24"/>
      <c r="D148" s="25"/>
      <c r="E148" s="25"/>
      <c r="F148" s="25"/>
      <c r="G148" s="27"/>
      <c r="H148" s="24"/>
    </row>
    <row r="149" spans="2:8" x14ac:dyDescent="0.3">
      <c r="B149" s="24"/>
      <c r="C149" s="24"/>
      <c r="D149" s="25"/>
      <c r="E149" s="25"/>
      <c r="F149" s="25"/>
      <c r="G149" s="27"/>
      <c r="H149" s="24"/>
    </row>
    <row r="150" spans="2:8" x14ac:dyDescent="0.3">
      <c r="B150" s="24"/>
      <c r="C150" s="24"/>
      <c r="D150" s="25"/>
      <c r="E150" s="25"/>
      <c r="F150" s="25"/>
      <c r="G150" s="27"/>
      <c r="H150" s="24"/>
    </row>
    <row r="151" spans="2:8" x14ac:dyDescent="0.3">
      <c r="B151" s="24"/>
      <c r="C151" s="24"/>
      <c r="D151" s="25"/>
      <c r="E151" s="25"/>
      <c r="F151" s="25"/>
      <c r="G151" s="27"/>
      <c r="H151" s="24"/>
    </row>
    <row r="152" spans="2:8" x14ac:dyDescent="0.3">
      <c r="B152" s="24"/>
      <c r="C152" s="24"/>
      <c r="D152" s="25"/>
      <c r="E152" s="25"/>
      <c r="F152" s="25"/>
      <c r="G152" s="27"/>
      <c r="H152" s="24"/>
    </row>
    <row r="153" spans="2:8" x14ac:dyDescent="0.3">
      <c r="B153" s="24"/>
      <c r="C153" s="24"/>
      <c r="D153" s="25"/>
      <c r="E153" s="25"/>
      <c r="F153" s="25"/>
      <c r="G153" s="27"/>
      <c r="H153" s="24"/>
    </row>
    <row r="154" spans="2:8" x14ac:dyDescent="0.3">
      <c r="B154" s="24"/>
      <c r="C154" s="24"/>
      <c r="D154" s="25"/>
      <c r="E154" s="25"/>
      <c r="F154" s="25"/>
      <c r="G154" s="27"/>
      <c r="H154" s="24"/>
    </row>
    <row r="155" spans="2:8" x14ac:dyDescent="0.3">
      <c r="B155" s="24"/>
      <c r="C155" s="24"/>
      <c r="D155" s="25"/>
      <c r="E155" s="25"/>
      <c r="F155" s="25"/>
      <c r="G155" s="27"/>
      <c r="H155" s="24"/>
    </row>
    <row r="156" spans="2:8" x14ac:dyDescent="0.3">
      <c r="B156" s="24"/>
      <c r="C156" s="24"/>
      <c r="D156" s="25"/>
      <c r="E156" s="25"/>
      <c r="F156" s="25"/>
      <c r="G156" s="27"/>
      <c r="H156" s="24"/>
    </row>
    <row r="157" spans="2:8" x14ac:dyDescent="0.3">
      <c r="B157" s="24"/>
      <c r="C157" s="24"/>
      <c r="D157" s="25"/>
      <c r="E157" s="25"/>
      <c r="F157" s="25"/>
      <c r="G157" s="27"/>
      <c r="H157" s="24"/>
    </row>
    <row r="158" spans="2:8" x14ac:dyDescent="0.3">
      <c r="B158" s="24"/>
      <c r="C158" s="24"/>
      <c r="D158" s="25"/>
      <c r="E158" s="25"/>
      <c r="F158" s="25"/>
      <c r="G158" s="27"/>
      <c r="H158" s="24"/>
    </row>
    <row r="159" spans="2:8" x14ac:dyDescent="0.3">
      <c r="B159" s="24"/>
      <c r="C159" s="24"/>
      <c r="D159" s="25"/>
      <c r="E159" s="25"/>
      <c r="F159" s="25"/>
      <c r="G159" s="27"/>
      <c r="H159" s="24"/>
    </row>
    <row r="160" spans="2:8" x14ac:dyDescent="0.3">
      <c r="B160" s="24"/>
      <c r="C160" s="24"/>
      <c r="D160" s="25"/>
      <c r="E160" s="25"/>
      <c r="F160" s="25"/>
      <c r="G160" s="27"/>
      <c r="H160" s="24"/>
    </row>
    <row r="161" spans="2:8" x14ac:dyDescent="0.3">
      <c r="B161" s="24"/>
      <c r="C161" s="24"/>
      <c r="D161" s="25"/>
      <c r="E161" s="25"/>
      <c r="F161" s="25"/>
      <c r="G161" s="27"/>
      <c r="H161" s="24"/>
    </row>
    <row r="162" spans="2:8" x14ac:dyDescent="0.3">
      <c r="B162" s="24"/>
      <c r="C162" s="24"/>
      <c r="D162" s="25"/>
      <c r="E162" s="25"/>
      <c r="F162" s="25"/>
      <c r="G162" s="27"/>
      <c r="H162" s="24"/>
    </row>
    <row r="163" spans="2:8" x14ac:dyDescent="0.3">
      <c r="B163" s="24"/>
      <c r="C163" s="24"/>
      <c r="D163" s="25"/>
      <c r="E163" s="25"/>
      <c r="F163" s="25"/>
      <c r="G163" s="27"/>
      <c r="H163" s="24"/>
    </row>
    <row r="164" spans="2:8" x14ac:dyDescent="0.3">
      <c r="B164" s="24"/>
      <c r="C164" s="24"/>
      <c r="D164" s="25"/>
      <c r="E164" s="25"/>
      <c r="F164" s="25"/>
      <c r="G164" s="27"/>
      <c r="H164" s="24"/>
    </row>
    <row r="165" spans="2:8" x14ac:dyDescent="0.3">
      <c r="B165" s="24"/>
      <c r="C165" s="24"/>
      <c r="D165" s="25"/>
      <c r="E165" s="25"/>
      <c r="F165" s="25"/>
      <c r="G165" s="27"/>
      <c r="H165" s="24"/>
    </row>
    <row r="166" spans="2:8" x14ac:dyDescent="0.3">
      <c r="B166" s="24"/>
      <c r="C166" s="24"/>
      <c r="D166" s="25"/>
      <c r="E166" s="25"/>
      <c r="F166" s="25"/>
      <c r="G166" s="27"/>
      <c r="H166" s="24"/>
    </row>
    <row r="167" spans="2:8" x14ac:dyDescent="0.3">
      <c r="B167" s="24"/>
      <c r="C167" s="24"/>
      <c r="D167" s="25"/>
      <c r="E167" s="25"/>
      <c r="F167" s="25"/>
      <c r="G167" s="27"/>
      <c r="H167" s="24"/>
    </row>
    <row r="168" spans="2:8" x14ac:dyDescent="0.3">
      <c r="B168" s="24"/>
      <c r="C168" s="24"/>
      <c r="D168" s="25"/>
      <c r="E168" s="25"/>
      <c r="F168" s="25"/>
      <c r="G168" s="27"/>
      <c r="H168" s="24"/>
    </row>
    <row r="169" spans="2:8" x14ac:dyDescent="0.3">
      <c r="B169" s="24"/>
      <c r="C169" s="24"/>
      <c r="D169" s="25"/>
      <c r="E169" s="25"/>
      <c r="F169" s="25"/>
      <c r="G169" s="27"/>
      <c r="H169" s="24"/>
    </row>
    <row r="170" spans="2:8" x14ac:dyDescent="0.3">
      <c r="B170" s="24"/>
      <c r="C170" s="24"/>
      <c r="D170" s="25"/>
      <c r="E170" s="25"/>
      <c r="F170" s="25"/>
      <c r="G170" s="27"/>
      <c r="H170" s="24"/>
    </row>
    <row r="171" spans="2:8" x14ac:dyDescent="0.3">
      <c r="B171" s="24"/>
      <c r="C171" s="24"/>
      <c r="D171" s="25"/>
      <c r="E171" s="25"/>
      <c r="F171" s="25"/>
      <c r="G171" s="27"/>
      <c r="H171" s="24"/>
    </row>
    <row r="172" spans="2:8" x14ac:dyDescent="0.3">
      <c r="B172" s="24"/>
      <c r="C172" s="24"/>
      <c r="D172" s="25"/>
      <c r="E172" s="25"/>
      <c r="F172" s="25"/>
      <c r="G172" s="27"/>
      <c r="H172" s="24"/>
    </row>
    <row r="173" spans="2:8" x14ac:dyDescent="0.3">
      <c r="B173" s="24"/>
      <c r="C173" s="24"/>
      <c r="D173" s="25"/>
      <c r="E173" s="25"/>
      <c r="F173" s="25"/>
      <c r="G173" s="27"/>
      <c r="H173" s="24"/>
    </row>
    <row r="174" spans="2:8" x14ac:dyDescent="0.3">
      <c r="B174" s="24"/>
      <c r="C174" s="24"/>
      <c r="D174" s="25"/>
      <c r="E174" s="25"/>
      <c r="F174" s="25"/>
      <c r="G174" s="27"/>
      <c r="H174" s="24"/>
    </row>
    <row r="175" spans="2:8" x14ac:dyDescent="0.3">
      <c r="B175" s="24"/>
      <c r="C175" s="24"/>
      <c r="D175" s="25"/>
      <c r="E175" s="25"/>
      <c r="F175" s="25"/>
      <c r="G175" s="27"/>
      <c r="H175" s="24"/>
    </row>
    <row r="176" spans="2:8" x14ac:dyDescent="0.3">
      <c r="B176" s="24"/>
      <c r="C176" s="24"/>
      <c r="D176" s="25"/>
      <c r="E176" s="25"/>
      <c r="F176" s="25"/>
      <c r="G176" s="27"/>
      <c r="H176" s="24"/>
    </row>
    <row r="177" spans="2:8" x14ac:dyDescent="0.3">
      <c r="B177" s="24"/>
      <c r="C177" s="24"/>
      <c r="D177" s="25"/>
      <c r="E177" s="25"/>
      <c r="F177" s="25"/>
      <c r="G177" s="27"/>
      <c r="H177" s="24"/>
    </row>
    <row r="178" spans="2:8" x14ac:dyDescent="0.3">
      <c r="B178" s="24"/>
      <c r="C178" s="24"/>
      <c r="D178" s="25"/>
      <c r="E178" s="25"/>
      <c r="F178" s="25"/>
      <c r="G178" s="27"/>
      <c r="H178" s="24"/>
    </row>
    <row r="179" spans="2:8" x14ac:dyDescent="0.3">
      <c r="B179" s="24"/>
      <c r="C179" s="24"/>
      <c r="D179" s="25"/>
      <c r="E179" s="25"/>
      <c r="F179" s="25"/>
      <c r="G179" s="27"/>
      <c r="H179" s="24"/>
    </row>
    <row r="180" spans="2:8" x14ac:dyDescent="0.3">
      <c r="B180" s="24"/>
      <c r="C180" s="24"/>
      <c r="D180" s="25"/>
      <c r="E180" s="25"/>
      <c r="F180" s="25"/>
      <c r="G180" s="27"/>
      <c r="H180" s="24"/>
    </row>
    <row r="181" spans="2:8" x14ac:dyDescent="0.3">
      <c r="B181" s="24"/>
      <c r="C181" s="24"/>
      <c r="D181" s="25"/>
      <c r="E181" s="25"/>
      <c r="F181" s="25"/>
      <c r="G181" s="27"/>
      <c r="H181" s="24"/>
    </row>
    <row r="182" spans="2:8" x14ac:dyDescent="0.3">
      <c r="B182" s="24"/>
      <c r="C182" s="24"/>
      <c r="D182" s="25"/>
      <c r="E182" s="25"/>
      <c r="F182" s="25"/>
      <c r="G182" s="27"/>
      <c r="H182" s="24"/>
    </row>
    <row r="183" spans="2:8" x14ac:dyDescent="0.3">
      <c r="B183" s="24"/>
      <c r="C183" s="24"/>
      <c r="D183" s="25"/>
      <c r="E183" s="25"/>
      <c r="F183" s="25"/>
      <c r="G183" s="27"/>
      <c r="H183" s="24"/>
    </row>
    <row r="184" spans="2:8" x14ac:dyDescent="0.3">
      <c r="B184" s="24"/>
      <c r="C184" s="24"/>
      <c r="D184" s="25"/>
      <c r="E184" s="25"/>
      <c r="F184" s="25"/>
      <c r="G184" s="27"/>
      <c r="H184" s="24"/>
    </row>
    <row r="185" spans="2:8" x14ac:dyDescent="0.3">
      <c r="B185" s="24"/>
      <c r="C185" s="24"/>
      <c r="D185" s="25"/>
      <c r="E185" s="25"/>
      <c r="F185" s="25"/>
      <c r="G185" s="27"/>
      <c r="H185" s="24"/>
    </row>
    <row r="186" spans="2:8" x14ac:dyDescent="0.3">
      <c r="B186" s="24"/>
      <c r="C186" s="24"/>
      <c r="D186" s="25"/>
      <c r="E186" s="25"/>
      <c r="F186" s="25"/>
      <c r="G186" s="27"/>
      <c r="H186" s="24"/>
    </row>
    <row r="187" spans="2:8" x14ac:dyDescent="0.3">
      <c r="B187" s="24"/>
      <c r="C187" s="24"/>
      <c r="D187" s="25"/>
      <c r="E187" s="25"/>
      <c r="F187" s="25"/>
      <c r="G187" s="27"/>
      <c r="H187" s="24"/>
    </row>
    <row r="188" spans="2:8" x14ac:dyDescent="0.3">
      <c r="B188" s="24"/>
      <c r="C188" s="24"/>
      <c r="D188" s="25"/>
      <c r="E188" s="25"/>
      <c r="F188" s="25"/>
      <c r="G188" s="27"/>
      <c r="H188" s="24"/>
    </row>
    <row r="189" spans="2:8" x14ac:dyDescent="0.3">
      <c r="B189" s="24"/>
      <c r="C189" s="24"/>
      <c r="D189" s="25"/>
      <c r="E189" s="25"/>
      <c r="F189" s="25"/>
      <c r="G189" s="27"/>
      <c r="H189" s="24"/>
    </row>
    <row r="190" spans="2:8" x14ac:dyDescent="0.3">
      <c r="B190" s="24"/>
      <c r="C190" s="24"/>
      <c r="D190" s="25"/>
      <c r="E190" s="25"/>
      <c r="F190" s="25"/>
      <c r="G190" s="27"/>
      <c r="H190" s="24"/>
    </row>
    <row r="191" spans="2:8" x14ac:dyDescent="0.3">
      <c r="B191" s="24"/>
      <c r="C191" s="24"/>
      <c r="D191" s="25"/>
      <c r="E191" s="25"/>
      <c r="F191" s="25"/>
      <c r="G191" s="27"/>
      <c r="H191" s="24"/>
    </row>
    <row r="192" spans="2:8" x14ac:dyDescent="0.3">
      <c r="B192" s="24"/>
      <c r="C192" s="24"/>
      <c r="D192" s="25"/>
      <c r="E192" s="25"/>
      <c r="F192" s="25"/>
      <c r="G192" s="27"/>
      <c r="H192" s="24"/>
    </row>
    <row r="193" spans="2:8" x14ac:dyDescent="0.3">
      <c r="B193" s="24"/>
      <c r="C193" s="24"/>
      <c r="D193" s="25"/>
      <c r="E193" s="25"/>
      <c r="F193" s="25"/>
      <c r="G193" s="27"/>
      <c r="H193" s="24"/>
    </row>
    <row r="194" spans="2:8" x14ac:dyDescent="0.3">
      <c r="B194" s="24"/>
      <c r="C194" s="24"/>
      <c r="D194" s="25"/>
      <c r="E194" s="25"/>
      <c r="F194" s="25"/>
      <c r="G194" s="27"/>
      <c r="H194" s="24"/>
    </row>
    <row r="195" spans="2:8" x14ac:dyDescent="0.3">
      <c r="B195" s="24"/>
      <c r="C195" s="24"/>
      <c r="D195" s="25"/>
      <c r="E195" s="25"/>
      <c r="F195" s="25"/>
      <c r="G195" s="27"/>
      <c r="H195" s="24"/>
    </row>
    <row r="196" spans="2:8" x14ac:dyDescent="0.3">
      <c r="B196" s="24"/>
      <c r="C196" s="24"/>
      <c r="D196" s="25"/>
      <c r="E196" s="25"/>
      <c r="F196" s="25"/>
      <c r="G196" s="27"/>
      <c r="H196" s="24"/>
    </row>
    <row r="197" spans="2:8" x14ac:dyDescent="0.3">
      <c r="B197" s="24"/>
      <c r="C197" s="24"/>
      <c r="D197" s="25"/>
      <c r="E197" s="25"/>
      <c r="F197" s="25"/>
      <c r="G197" s="27"/>
      <c r="H197" s="24"/>
    </row>
    <row r="198" spans="2:8" x14ac:dyDescent="0.3">
      <c r="B198" s="24"/>
      <c r="C198" s="24"/>
      <c r="D198" s="25"/>
      <c r="E198" s="25"/>
      <c r="F198" s="25"/>
      <c r="G198" s="27"/>
      <c r="H198" s="24"/>
    </row>
    <row r="199" spans="2:8" x14ac:dyDescent="0.3">
      <c r="B199" s="24"/>
      <c r="C199" s="24"/>
      <c r="D199" s="25"/>
      <c r="E199" s="25"/>
      <c r="F199" s="25"/>
      <c r="G199" s="27"/>
      <c r="H199" s="24"/>
    </row>
    <row r="200" spans="2:8" x14ac:dyDescent="0.3">
      <c r="B200" s="24"/>
      <c r="C200" s="24"/>
      <c r="D200" s="25"/>
      <c r="E200" s="25"/>
      <c r="F200" s="25"/>
      <c r="G200" s="27"/>
      <c r="H200" s="24"/>
    </row>
    <row r="201" spans="2:8" x14ac:dyDescent="0.3">
      <c r="G201" s="10"/>
    </row>
    <row r="202" spans="2:8" x14ac:dyDescent="0.3">
      <c r="G202" s="10"/>
    </row>
    <row r="203" spans="2:8" x14ac:dyDescent="0.3">
      <c r="G203" s="10"/>
    </row>
    <row r="204" spans="2:8" x14ac:dyDescent="0.3">
      <c r="G204" s="10"/>
    </row>
    <row r="205" spans="2:8" x14ac:dyDescent="0.3">
      <c r="G205" s="10"/>
    </row>
    <row r="206" spans="2:8" x14ac:dyDescent="0.3">
      <c r="G206" s="10"/>
    </row>
    <row r="207" spans="2:8" x14ac:dyDescent="0.3">
      <c r="G207" s="10"/>
    </row>
    <row r="208" spans="2:8" x14ac:dyDescent="0.3">
      <c r="G208" s="10"/>
    </row>
    <row r="209" spans="7:7" x14ac:dyDescent="0.3">
      <c r="G209" s="10"/>
    </row>
    <row r="210" spans="7:7" x14ac:dyDescent="0.3">
      <c r="G210" s="10"/>
    </row>
    <row r="211" spans="7:7" x14ac:dyDescent="0.3">
      <c r="G211" s="10"/>
    </row>
    <row r="212" spans="7:7" x14ac:dyDescent="0.3">
      <c r="G212" s="10"/>
    </row>
    <row r="213" spans="7:7" x14ac:dyDescent="0.3">
      <c r="G213" s="10"/>
    </row>
    <row r="214" spans="7:7" x14ac:dyDescent="0.3">
      <c r="G214" s="10"/>
    </row>
    <row r="215" spans="7:7" x14ac:dyDescent="0.3">
      <c r="G215" s="10"/>
    </row>
    <row r="216" spans="7:7" x14ac:dyDescent="0.3">
      <c r="G216" s="10"/>
    </row>
    <row r="217" spans="7:7" x14ac:dyDescent="0.3">
      <c r="G217" s="10"/>
    </row>
    <row r="218" spans="7:7" x14ac:dyDescent="0.3">
      <c r="G218" s="10"/>
    </row>
    <row r="219" spans="7:7" x14ac:dyDescent="0.3">
      <c r="G219" s="10"/>
    </row>
    <row r="220" spans="7:7" x14ac:dyDescent="0.3">
      <c r="G220" s="10"/>
    </row>
    <row r="221" spans="7:7" x14ac:dyDescent="0.3">
      <c r="G221" s="10"/>
    </row>
    <row r="222" spans="7:7" x14ac:dyDescent="0.3">
      <c r="G222" s="10"/>
    </row>
    <row r="223" spans="7:7" x14ac:dyDescent="0.3">
      <c r="G223" s="10"/>
    </row>
    <row r="224" spans="7:7" x14ac:dyDescent="0.3">
      <c r="G224" s="10"/>
    </row>
    <row r="225" spans="7:7" x14ac:dyDescent="0.3">
      <c r="G225" s="10"/>
    </row>
    <row r="226" spans="7:7" x14ac:dyDescent="0.3">
      <c r="G226" s="10"/>
    </row>
    <row r="227" spans="7:7" x14ac:dyDescent="0.3">
      <c r="G227" s="10"/>
    </row>
    <row r="228" spans="7:7" x14ac:dyDescent="0.3">
      <c r="G228" s="10"/>
    </row>
    <row r="229" spans="7:7" x14ac:dyDescent="0.3">
      <c r="G229" s="10"/>
    </row>
    <row r="230" spans="7:7" x14ac:dyDescent="0.3">
      <c r="G230" s="10"/>
    </row>
    <row r="231" spans="7:7" x14ac:dyDescent="0.3">
      <c r="G231" s="10"/>
    </row>
    <row r="232" spans="7:7" x14ac:dyDescent="0.3">
      <c r="G232" s="10"/>
    </row>
    <row r="233" spans="7:7" x14ac:dyDescent="0.3">
      <c r="G233" s="10"/>
    </row>
    <row r="234" spans="7:7" x14ac:dyDescent="0.3">
      <c r="G234" s="10"/>
    </row>
    <row r="235" spans="7:7" x14ac:dyDescent="0.3">
      <c r="G235" s="10"/>
    </row>
    <row r="236" spans="7:7" x14ac:dyDescent="0.3">
      <c r="G236" s="10"/>
    </row>
    <row r="237" spans="7:7" x14ac:dyDescent="0.3">
      <c r="G237" s="10"/>
    </row>
    <row r="238" spans="7:7" x14ac:dyDescent="0.3">
      <c r="G238" s="10"/>
    </row>
    <row r="239" spans="7:7" x14ac:dyDescent="0.3">
      <c r="G239" s="10"/>
    </row>
    <row r="240" spans="7:7" x14ac:dyDescent="0.3">
      <c r="G240" s="10"/>
    </row>
    <row r="241" spans="7:7" x14ac:dyDescent="0.3">
      <c r="G241" s="10"/>
    </row>
    <row r="242" spans="7:7" x14ac:dyDescent="0.3">
      <c r="G242" s="10"/>
    </row>
    <row r="243" spans="7:7" x14ac:dyDescent="0.3">
      <c r="G243" s="10"/>
    </row>
    <row r="244" spans="7:7" x14ac:dyDescent="0.3">
      <c r="G244" s="10"/>
    </row>
    <row r="245" spans="7:7" x14ac:dyDescent="0.3">
      <c r="G245" s="10"/>
    </row>
    <row r="246" spans="7:7" x14ac:dyDescent="0.3">
      <c r="G246" s="10"/>
    </row>
    <row r="247" spans="7:7" x14ac:dyDescent="0.3">
      <c r="G247" s="10"/>
    </row>
    <row r="248" spans="7:7" x14ac:dyDescent="0.3">
      <c r="G248" s="10"/>
    </row>
    <row r="249" spans="7:7" x14ac:dyDescent="0.3">
      <c r="G249" s="10"/>
    </row>
    <row r="250" spans="7:7" x14ac:dyDescent="0.3">
      <c r="G250" s="10"/>
    </row>
    <row r="251" spans="7:7" x14ac:dyDescent="0.3">
      <c r="G251" s="10"/>
    </row>
    <row r="252" spans="7:7" x14ac:dyDescent="0.3">
      <c r="G252" s="10"/>
    </row>
    <row r="253" spans="7:7" x14ac:dyDescent="0.3">
      <c r="G253" s="10"/>
    </row>
    <row r="254" spans="7:7" x14ac:dyDescent="0.3">
      <c r="G254" s="10"/>
    </row>
    <row r="255" spans="7:7" x14ac:dyDescent="0.3">
      <c r="G255" s="10"/>
    </row>
    <row r="256" spans="7:7" x14ac:dyDescent="0.3">
      <c r="G256" s="10"/>
    </row>
    <row r="257" spans="7:7" x14ac:dyDescent="0.3">
      <c r="G257" s="10"/>
    </row>
    <row r="258" spans="7:7" x14ac:dyDescent="0.3">
      <c r="G258" s="10"/>
    </row>
    <row r="259" spans="7:7" x14ac:dyDescent="0.3">
      <c r="G259" s="10"/>
    </row>
    <row r="260" spans="7:7" x14ac:dyDescent="0.3">
      <c r="G260" s="10"/>
    </row>
    <row r="261" spans="7:7" x14ac:dyDescent="0.3">
      <c r="G261" s="10"/>
    </row>
    <row r="262" spans="7:7" x14ac:dyDescent="0.3">
      <c r="G262" s="10"/>
    </row>
    <row r="263" spans="7:7" x14ac:dyDescent="0.3">
      <c r="G263" s="10"/>
    </row>
    <row r="264" spans="7:7" x14ac:dyDescent="0.3">
      <c r="G264" s="10"/>
    </row>
    <row r="265" spans="7:7" x14ac:dyDescent="0.3">
      <c r="G265" s="10"/>
    </row>
    <row r="266" spans="7:7" x14ac:dyDescent="0.3">
      <c r="G266" s="10"/>
    </row>
    <row r="267" spans="7:7" x14ac:dyDescent="0.3">
      <c r="G267" s="10"/>
    </row>
    <row r="268" spans="7:7" x14ac:dyDescent="0.3">
      <c r="G268" s="10"/>
    </row>
    <row r="269" spans="7:7" x14ac:dyDescent="0.3">
      <c r="G269" s="10"/>
    </row>
    <row r="270" spans="7:7" x14ac:dyDescent="0.3">
      <c r="G270" s="10"/>
    </row>
    <row r="271" spans="7:7" x14ac:dyDescent="0.3">
      <c r="G271" s="10"/>
    </row>
    <row r="272" spans="7:7" x14ac:dyDescent="0.3">
      <c r="G272" s="10"/>
    </row>
    <row r="273" spans="7:7" x14ac:dyDescent="0.3">
      <c r="G273" s="10"/>
    </row>
    <row r="274" spans="7:7" x14ac:dyDescent="0.3">
      <c r="G274" s="10"/>
    </row>
    <row r="275" spans="7:7" x14ac:dyDescent="0.3">
      <c r="G275" s="10"/>
    </row>
    <row r="276" spans="7:7" x14ac:dyDescent="0.3">
      <c r="G276" s="10"/>
    </row>
    <row r="277" spans="7:7" x14ac:dyDescent="0.3">
      <c r="G277" s="10"/>
    </row>
    <row r="278" spans="7:7" x14ac:dyDescent="0.3">
      <c r="G278" s="10"/>
    </row>
    <row r="279" spans="7:7" x14ac:dyDescent="0.3">
      <c r="G279" s="10"/>
    </row>
    <row r="280" spans="7:7" x14ac:dyDescent="0.3">
      <c r="G280" s="10"/>
    </row>
    <row r="281" spans="7:7" x14ac:dyDescent="0.3">
      <c r="G281" s="10"/>
    </row>
    <row r="282" spans="7:7" x14ac:dyDescent="0.3">
      <c r="G282" s="10"/>
    </row>
    <row r="283" spans="7:7" x14ac:dyDescent="0.3">
      <c r="G283" s="10"/>
    </row>
    <row r="284" spans="7:7" x14ac:dyDescent="0.3">
      <c r="G284" s="10"/>
    </row>
    <row r="285" spans="7:7" x14ac:dyDescent="0.3">
      <c r="G285" s="10"/>
    </row>
    <row r="286" spans="7:7" x14ac:dyDescent="0.3">
      <c r="G286" s="10"/>
    </row>
    <row r="287" spans="7:7" x14ac:dyDescent="0.3">
      <c r="G287" s="10"/>
    </row>
    <row r="288" spans="7:7" x14ac:dyDescent="0.3">
      <c r="G288" s="10"/>
    </row>
    <row r="289" spans="7:7" x14ac:dyDescent="0.3">
      <c r="G289" s="10"/>
    </row>
    <row r="290" spans="7:7" x14ac:dyDescent="0.3">
      <c r="G290" s="10"/>
    </row>
    <row r="291" spans="7:7" x14ac:dyDescent="0.3">
      <c r="G291" s="10"/>
    </row>
    <row r="292" spans="7:7" x14ac:dyDescent="0.3">
      <c r="G292" s="10"/>
    </row>
    <row r="293" spans="7:7" x14ac:dyDescent="0.3">
      <c r="G293" s="10"/>
    </row>
    <row r="294" spans="7:7" x14ac:dyDescent="0.3">
      <c r="G294" s="10"/>
    </row>
    <row r="295" spans="7:7" x14ac:dyDescent="0.3">
      <c r="G295" s="10"/>
    </row>
    <row r="296" spans="7:7" x14ac:dyDescent="0.3">
      <c r="G296" s="10"/>
    </row>
    <row r="297" spans="7:7" x14ac:dyDescent="0.3">
      <c r="G297" s="10"/>
    </row>
    <row r="298" spans="7:7" x14ac:dyDescent="0.3">
      <c r="G298" s="10"/>
    </row>
    <row r="299" spans="7:7" x14ac:dyDescent="0.3">
      <c r="G299" s="10"/>
    </row>
    <row r="300" spans="7:7" x14ac:dyDescent="0.3">
      <c r="G300" s="10"/>
    </row>
    <row r="301" spans="7:7" x14ac:dyDescent="0.3">
      <c r="G301" s="10"/>
    </row>
    <row r="302" spans="7:7" x14ac:dyDescent="0.3">
      <c r="G302" s="10"/>
    </row>
    <row r="303" spans="7:7" x14ac:dyDescent="0.3">
      <c r="G303" s="10"/>
    </row>
    <row r="304" spans="7:7" x14ac:dyDescent="0.3">
      <c r="G304" s="10"/>
    </row>
    <row r="305" spans="7:7" x14ac:dyDescent="0.3">
      <c r="G305" s="10"/>
    </row>
    <row r="306" spans="7:7" x14ac:dyDescent="0.3">
      <c r="G306" s="10"/>
    </row>
    <row r="307" spans="7:7" x14ac:dyDescent="0.3">
      <c r="G307" s="10"/>
    </row>
    <row r="308" spans="7:7" x14ac:dyDescent="0.3">
      <c r="G308" s="10"/>
    </row>
    <row r="309" spans="7:7" x14ac:dyDescent="0.3">
      <c r="G309" s="10"/>
    </row>
    <row r="310" spans="7:7" x14ac:dyDescent="0.3">
      <c r="G310" s="10"/>
    </row>
    <row r="311" spans="7:7" x14ac:dyDescent="0.3">
      <c r="G311" s="10"/>
    </row>
    <row r="312" spans="7:7" x14ac:dyDescent="0.3">
      <c r="G312" s="10"/>
    </row>
    <row r="313" spans="7:7" x14ac:dyDescent="0.3">
      <c r="G313" s="10"/>
    </row>
    <row r="314" spans="7:7" x14ac:dyDescent="0.3">
      <c r="G314" s="10"/>
    </row>
    <row r="315" spans="7:7" x14ac:dyDescent="0.3">
      <c r="G315" s="10"/>
    </row>
    <row r="316" spans="7:7" x14ac:dyDescent="0.3">
      <c r="G316" s="10"/>
    </row>
    <row r="317" spans="7:7" x14ac:dyDescent="0.3">
      <c r="G317" s="10"/>
    </row>
    <row r="318" spans="7:7" x14ac:dyDescent="0.3">
      <c r="G318" s="10"/>
    </row>
    <row r="319" spans="7:7" x14ac:dyDescent="0.3">
      <c r="G319" s="10"/>
    </row>
    <row r="320" spans="7:7" x14ac:dyDescent="0.3">
      <c r="G320" s="10"/>
    </row>
    <row r="321" spans="7:7" x14ac:dyDescent="0.3">
      <c r="G321" s="10"/>
    </row>
    <row r="322" spans="7:7" x14ac:dyDescent="0.3">
      <c r="G322" s="10"/>
    </row>
    <row r="323" spans="7:7" x14ac:dyDescent="0.3">
      <c r="G323" s="10"/>
    </row>
    <row r="324" spans="7:7" x14ac:dyDescent="0.3">
      <c r="G324" s="10"/>
    </row>
    <row r="325" spans="7:7" x14ac:dyDescent="0.3">
      <c r="G325" s="10"/>
    </row>
    <row r="326" spans="7:7" x14ac:dyDescent="0.3">
      <c r="G326" s="10"/>
    </row>
    <row r="327" spans="7:7" x14ac:dyDescent="0.3">
      <c r="G327" s="10"/>
    </row>
    <row r="328" spans="7:7" x14ac:dyDescent="0.3">
      <c r="G328" s="10"/>
    </row>
    <row r="329" spans="7:7" x14ac:dyDescent="0.3">
      <c r="G329" s="10"/>
    </row>
    <row r="330" spans="7:7" x14ac:dyDescent="0.3">
      <c r="G330" s="10"/>
    </row>
    <row r="331" spans="7:7" x14ac:dyDescent="0.3">
      <c r="G331" s="10"/>
    </row>
    <row r="332" spans="7:7" x14ac:dyDescent="0.3">
      <c r="G332" s="10"/>
    </row>
    <row r="333" spans="7:7" x14ac:dyDescent="0.3">
      <c r="G333" s="10"/>
    </row>
    <row r="334" spans="7:7" x14ac:dyDescent="0.3">
      <c r="G334" s="10"/>
    </row>
    <row r="335" spans="7:7" x14ac:dyDescent="0.3">
      <c r="G335" s="10"/>
    </row>
    <row r="336" spans="7:7" x14ac:dyDescent="0.3">
      <c r="G336" s="10"/>
    </row>
    <row r="337" spans="7:7" x14ac:dyDescent="0.3">
      <c r="G337" s="10"/>
    </row>
    <row r="338" spans="7:7" x14ac:dyDescent="0.3">
      <c r="G338" s="10"/>
    </row>
    <row r="339" spans="7:7" x14ac:dyDescent="0.3">
      <c r="G339" s="10"/>
    </row>
    <row r="340" spans="7:7" x14ac:dyDescent="0.3">
      <c r="G340" s="10"/>
    </row>
    <row r="341" spans="7:7" x14ac:dyDescent="0.3">
      <c r="G341" s="10"/>
    </row>
    <row r="342" spans="7:7" x14ac:dyDescent="0.3">
      <c r="G342" s="10"/>
    </row>
    <row r="343" spans="7:7" x14ac:dyDescent="0.3">
      <c r="G343" s="10"/>
    </row>
    <row r="344" spans="7:7" x14ac:dyDescent="0.3">
      <c r="G344" s="10"/>
    </row>
    <row r="345" spans="7:7" x14ac:dyDescent="0.3">
      <c r="G345" s="10"/>
    </row>
    <row r="346" spans="7:7" x14ac:dyDescent="0.3">
      <c r="G346" s="10"/>
    </row>
    <row r="347" spans="7:7" x14ac:dyDescent="0.3">
      <c r="G347" s="10"/>
    </row>
    <row r="348" spans="7:7" x14ac:dyDescent="0.3">
      <c r="G348" s="10"/>
    </row>
    <row r="349" spans="7:7" x14ac:dyDescent="0.3">
      <c r="G349" s="10"/>
    </row>
    <row r="350" spans="7:7" x14ac:dyDescent="0.3">
      <c r="G350" s="10"/>
    </row>
    <row r="351" spans="7:7" x14ac:dyDescent="0.3">
      <c r="G351" s="10"/>
    </row>
    <row r="352" spans="7:7" x14ac:dyDescent="0.3">
      <c r="G352" s="10"/>
    </row>
    <row r="353" spans="7:7" x14ac:dyDescent="0.3">
      <c r="G353" s="10"/>
    </row>
    <row r="354" spans="7:7" x14ac:dyDescent="0.3">
      <c r="G354" s="10"/>
    </row>
    <row r="355" spans="7:7" x14ac:dyDescent="0.3">
      <c r="G355" s="10"/>
    </row>
    <row r="356" spans="7:7" x14ac:dyDescent="0.3">
      <c r="G356" s="10"/>
    </row>
    <row r="357" spans="7:7" x14ac:dyDescent="0.3">
      <c r="G357" s="10"/>
    </row>
    <row r="358" spans="7:7" x14ac:dyDescent="0.3">
      <c r="G358" s="10"/>
    </row>
    <row r="359" spans="7:7" x14ac:dyDescent="0.3">
      <c r="G359" s="10"/>
    </row>
    <row r="360" spans="7:7" x14ac:dyDescent="0.3">
      <c r="G360" s="10"/>
    </row>
    <row r="361" spans="7:7" x14ac:dyDescent="0.3">
      <c r="G361" s="10"/>
    </row>
    <row r="362" spans="7:7" x14ac:dyDescent="0.3">
      <c r="G362" s="10"/>
    </row>
    <row r="363" spans="7:7" x14ac:dyDescent="0.3">
      <c r="G363" s="10"/>
    </row>
    <row r="364" spans="7:7" x14ac:dyDescent="0.3">
      <c r="G364" s="10"/>
    </row>
    <row r="365" spans="7:7" x14ac:dyDescent="0.3">
      <c r="G365" s="10"/>
    </row>
    <row r="366" spans="7:7" x14ac:dyDescent="0.3">
      <c r="G366" s="10"/>
    </row>
    <row r="367" spans="7:7" x14ac:dyDescent="0.3">
      <c r="G367" s="10"/>
    </row>
    <row r="368" spans="7:7" x14ac:dyDescent="0.3">
      <c r="G368" s="10"/>
    </row>
    <row r="369" spans="7:7" x14ac:dyDescent="0.3">
      <c r="G369" s="10"/>
    </row>
    <row r="370" spans="7:7" x14ac:dyDescent="0.3">
      <c r="G370" s="10"/>
    </row>
    <row r="371" spans="7:7" x14ac:dyDescent="0.3">
      <c r="G371" s="10"/>
    </row>
    <row r="372" spans="7:7" x14ac:dyDescent="0.3">
      <c r="G372" s="10"/>
    </row>
    <row r="373" spans="7:7" x14ac:dyDescent="0.3">
      <c r="G373" s="10"/>
    </row>
    <row r="374" spans="7:7" x14ac:dyDescent="0.3">
      <c r="G374" s="10"/>
    </row>
    <row r="375" spans="7:7" x14ac:dyDescent="0.3">
      <c r="G375" s="10"/>
    </row>
    <row r="376" spans="7:7" x14ac:dyDescent="0.3">
      <c r="G376" s="10"/>
    </row>
    <row r="377" spans="7:7" x14ac:dyDescent="0.3">
      <c r="G377" s="10"/>
    </row>
    <row r="378" spans="7:7" x14ac:dyDescent="0.3">
      <c r="G378" s="10"/>
    </row>
    <row r="379" spans="7:7" x14ac:dyDescent="0.3">
      <c r="G379" s="10"/>
    </row>
    <row r="380" spans="7:7" x14ac:dyDescent="0.3">
      <c r="G380" s="10"/>
    </row>
    <row r="381" spans="7:7" x14ac:dyDescent="0.3">
      <c r="G381" s="10"/>
    </row>
    <row r="382" spans="7:7" x14ac:dyDescent="0.3">
      <c r="G382" s="10"/>
    </row>
    <row r="383" spans="7:7" x14ac:dyDescent="0.3">
      <c r="G383" s="10"/>
    </row>
    <row r="384" spans="7:7" x14ac:dyDescent="0.3">
      <c r="G384" s="10"/>
    </row>
    <row r="385" spans="7:7" x14ac:dyDescent="0.3">
      <c r="G385" s="10"/>
    </row>
    <row r="386" spans="7:7" x14ac:dyDescent="0.3">
      <c r="G386" s="10"/>
    </row>
    <row r="387" spans="7:7" x14ac:dyDescent="0.3">
      <c r="G387" s="10"/>
    </row>
    <row r="388" spans="7:7" x14ac:dyDescent="0.3">
      <c r="G388" s="10"/>
    </row>
    <row r="389" spans="7:7" x14ac:dyDescent="0.3">
      <c r="G389" s="10"/>
    </row>
    <row r="390" spans="7:7" x14ac:dyDescent="0.3">
      <c r="G390" s="10"/>
    </row>
    <row r="391" spans="7:7" x14ac:dyDescent="0.3">
      <c r="G391" s="10"/>
    </row>
    <row r="392" spans="7:7" x14ac:dyDescent="0.3">
      <c r="G392" s="10"/>
    </row>
    <row r="393" spans="7:7" x14ac:dyDescent="0.3">
      <c r="G393" s="10"/>
    </row>
    <row r="394" spans="7:7" x14ac:dyDescent="0.3">
      <c r="G394" s="10"/>
    </row>
    <row r="395" spans="7:7" x14ac:dyDescent="0.3">
      <c r="G395" s="10"/>
    </row>
    <row r="396" spans="7:7" x14ac:dyDescent="0.3">
      <c r="G396" s="10"/>
    </row>
    <row r="397" spans="7:7" x14ac:dyDescent="0.3">
      <c r="G397" s="10"/>
    </row>
    <row r="398" spans="7:7" x14ac:dyDescent="0.3">
      <c r="G398" s="10"/>
    </row>
    <row r="399" spans="7:7" x14ac:dyDescent="0.3">
      <c r="G399" s="10"/>
    </row>
    <row r="400" spans="7:7" x14ac:dyDescent="0.3">
      <c r="G400" s="10"/>
    </row>
    <row r="401" spans="7:7" x14ac:dyDescent="0.3">
      <c r="G401" s="10"/>
    </row>
    <row r="402" spans="7:7" x14ac:dyDescent="0.3">
      <c r="G402" s="10"/>
    </row>
    <row r="403" spans="7:7" x14ac:dyDescent="0.3">
      <c r="G403" s="10"/>
    </row>
    <row r="404" spans="7:7" x14ac:dyDescent="0.3">
      <c r="G404" s="10"/>
    </row>
    <row r="405" spans="7:7" x14ac:dyDescent="0.3">
      <c r="G405" s="10"/>
    </row>
    <row r="406" spans="7:7" x14ac:dyDescent="0.3">
      <c r="G406" s="10"/>
    </row>
    <row r="407" spans="7:7" x14ac:dyDescent="0.3">
      <c r="G407" s="10"/>
    </row>
    <row r="408" spans="7:7" x14ac:dyDescent="0.3">
      <c r="G408" s="10"/>
    </row>
    <row r="409" spans="7:7" x14ac:dyDescent="0.3">
      <c r="G409" s="10"/>
    </row>
    <row r="410" spans="7:7" x14ac:dyDescent="0.3">
      <c r="G410" s="10"/>
    </row>
    <row r="411" spans="7:7" x14ac:dyDescent="0.3">
      <c r="G411" s="10"/>
    </row>
    <row r="412" spans="7:7" x14ac:dyDescent="0.3">
      <c r="G412" s="10"/>
    </row>
    <row r="413" spans="7:7" x14ac:dyDescent="0.3">
      <c r="G413" s="10"/>
    </row>
    <row r="414" spans="7:7" x14ac:dyDescent="0.3">
      <c r="G414" s="10"/>
    </row>
    <row r="415" spans="7:7" x14ac:dyDescent="0.3">
      <c r="G415" s="10"/>
    </row>
    <row r="416" spans="7:7" x14ac:dyDescent="0.3">
      <c r="G416" s="10"/>
    </row>
    <row r="417" spans="7:7" x14ac:dyDescent="0.3">
      <c r="G417" s="10"/>
    </row>
    <row r="418" spans="7:7" x14ac:dyDescent="0.3">
      <c r="G418" s="10"/>
    </row>
    <row r="419" spans="7:7" x14ac:dyDescent="0.3">
      <c r="G419" s="10"/>
    </row>
    <row r="420" spans="7:7" x14ac:dyDescent="0.3">
      <c r="G420" s="10"/>
    </row>
    <row r="421" spans="7:7" x14ac:dyDescent="0.3">
      <c r="G421" s="10"/>
    </row>
    <row r="422" spans="7:7" x14ac:dyDescent="0.3">
      <c r="G422" s="10"/>
    </row>
    <row r="423" spans="7:7" x14ac:dyDescent="0.3">
      <c r="G423" s="10"/>
    </row>
    <row r="424" spans="7:7" x14ac:dyDescent="0.3">
      <c r="G424" s="10"/>
    </row>
    <row r="425" spans="7:7" x14ac:dyDescent="0.3">
      <c r="G425" s="10"/>
    </row>
    <row r="426" spans="7:7" x14ac:dyDescent="0.3">
      <c r="G426" s="10"/>
    </row>
    <row r="427" spans="7:7" x14ac:dyDescent="0.3">
      <c r="G427" s="10"/>
    </row>
    <row r="428" spans="7:7" x14ac:dyDescent="0.3">
      <c r="G428" s="10"/>
    </row>
    <row r="429" spans="7:7" x14ac:dyDescent="0.3">
      <c r="G429" s="10"/>
    </row>
    <row r="430" spans="7:7" x14ac:dyDescent="0.3">
      <c r="G430" s="10"/>
    </row>
    <row r="431" spans="7:7" x14ac:dyDescent="0.3">
      <c r="G431" s="10"/>
    </row>
    <row r="432" spans="7:7" x14ac:dyDescent="0.3">
      <c r="G432" s="10"/>
    </row>
    <row r="433" spans="7:7" x14ac:dyDescent="0.3">
      <c r="G433" s="10"/>
    </row>
    <row r="434" spans="7:7" x14ac:dyDescent="0.3">
      <c r="G434" s="10"/>
    </row>
    <row r="435" spans="7:7" x14ac:dyDescent="0.3">
      <c r="G435" s="10"/>
    </row>
    <row r="436" spans="7:7" x14ac:dyDescent="0.3">
      <c r="G436" s="10"/>
    </row>
    <row r="437" spans="7:7" x14ac:dyDescent="0.3">
      <c r="G437" s="10"/>
    </row>
    <row r="438" spans="7:7" x14ac:dyDescent="0.3">
      <c r="G438" s="10"/>
    </row>
    <row r="439" spans="7:7" x14ac:dyDescent="0.3">
      <c r="G439" s="10"/>
    </row>
    <row r="440" spans="7:7" x14ac:dyDescent="0.3">
      <c r="G440" s="10"/>
    </row>
    <row r="441" spans="7:7" x14ac:dyDescent="0.3">
      <c r="G441" s="10"/>
    </row>
    <row r="442" spans="7:7" x14ac:dyDescent="0.3">
      <c r="G442" s="10"/>
    </row>
    <row r="443" spans="7:7" x14ac:dyDescent="0.3">
      <c r="G443" s="10"/>
    </row>
    <row r="444" spans="7:7" x14ac:dyDescent="0.3">
      <c r="G444" s="10"/>
    </row>
    <row r="445" spans="7:7" x14ac:dyDescent="0.3">
      <c r="G445" s="10"/>
    </row>
    <row r="446" spans="7:7" x14ac:dyDescent="0.3">
      <c r="G446" s="10"/>
    </row>
    <row r="447" spans="7:7" x14ac:dyDescent="0.3">
      <c r="G447" s="10"/>
    </row>
    <row r="448" spans="7:7" x14ac:dyDescent="0.3">
      <c r="G448" s="10"/>
    </row>
    <row r="449" spans="7:7" x14ac:dyDescent="0.3">
      <c r="G449" s="10"/>
    </row>
    <row r="450" spans="7:7" x14ac:dyDescent="0.3">
      <c r="G450" s="10"/>
    </row>
    <row r="451" spans="7:7" x14ac:dyDescent="0.3">
      <c r="G451" s="10"/>
    </row>
    <row r="452" spans="7:7" x14ac:dyDescent="0.3">
      <c r="G452" s="10"/>
    </row>
    <row r="453" spans="7:7" x14ac:dyDescent="0.3">
      <c r="G453" s="10"/>
    </row>
    <row r="454" spans="7:7" x14ac:dyDescent="0.3">
      <c r="G454" s="10"/>
    </row>
    <row r="455" spans="7:7" x14ac:dyDescent="0.3">
      <c r="G455" s="10"/>
    </row>
    <row r="456" spans="7:7" x14ac:dyDescent="0.3">
      <c r="G456" s="10"/>
    </row>
    <row r="457" spans="7:7" x14ac:dyDescent="0.3">
      <c r="G457" s="10"/>
    </row>
    <row r="458" spans="7:7" x14ac:dyDescent="0.3">
      <c r="G458" s="10"/>
    </row>
    <row r="459" spans="7:7" x14ac:dyDescent="0.3">
      <c r="G459" s="10"/>
    </row>
    <row r="460" spans="7:7" x14ac:dyDescent="0.3">
      <c r="G460" s="10"/>
    </row>
    <row r="461" spans="7:7" x14ac:dyDescent="0.3">
      <c r="G461" s="10"/>
    </row>
    <row r="462" spans="7:7" x14ac:dyDescent="0.3">
      <c r="G462" s="10"/>
    </row>
    <row r="463" spans="7:7" x14ac:dyDescent="0.3">
      <c r="G463" s="10"/>
    </row>
    <row r="464" spans="7:7" x14ac:dyDescent="0.3">
      <c r="G464" s="10"/>
    </row>
    <row r="465" spans="7:7" x14ac:dyDescent="0.3">
      <c r="G465" s="10"/>
    </row>
    <row r="466" spans="7:7" x14ac:dyDescent="0.3">
      <c r="G466" s="10"/>
    </row>
    <row r="467" spans="7:7" x14ac:dyDescent="0.3">
      <c r="G467" s="10"/>
    </row>
    <row r="468" spans="7:7" x14ac:dyDescent="0.3">
      <c r="G468" s="10"/>
    </row>
    <row r="469" spans="7:7" x14ac:dyDescent="0.3">
      <c r="G469" s="10"/>
    </row>
    <row r="470" spans="7:7" x14ac:dyDescent="0.3">
      <c r="G470" s="10"/>
    </row>
    <row r="471" spans="7:7" x14ac:dyDescent="0.3">
      <c r="G471" s="10"/>
    </row>
    <row r="472" spans="7:7" x14ac:dyDescent="0.3">
      <c r="G472" s="10"/>
    </row>
    <row r="473" spans="7:7" x14ac:dyDescent="0.3">
      <c r="G473" s="10"/>
    </row>
    <row r="474" spans="7:7" x14ac:dyDescent="0.3">
      <c r="G474" s="10"/>
    </row>
    <row r="475" spans="7:7" x14ac:dyDescent="0.3">
      <c r="G475" s="10"/>
    </row>
    <row r="476" spans="7:7" x14ac:dyDescent="0.3">
      <c r="G476" s="10"/>
    </row>
    <row r="477" spans="7:7" x14ac:dyDescent="0.3">
      <c r="G477" s="10"/>
    </row>
    <row r="478" spans="7:7" x14ac:dyDescent="0.3">
      <c r="G478" s="10"/>
    </row>
    <row r="479" spans="7:7" x14ac:dyDescent="0.3">
      <c r="G479" s="10"/>
    </row>
    <row r="480" spans="7:7" x14ac:dyDescent="0.3">
      <c r="G480" s="10"/>
    </row>
    <row r="481" spans="7:7" x14ac:dyDescent="0.3">
      <c r="G481" s="10"/>
    </row>
    <row r="482" spans="7:7" x14ac:dyDescent="0.3">
      <c r="G482" s="10"/>
    </row>
    <row r="483" spans="7:7" x14ac:dyDescent="0.3">
      <c r="G483" s="10"/>
    </row>
    <row r="484" spans="7:7" x14ac:dyDescent="0.3">
      <c r="G484" s="10"/>
    </row>
    <row r="485" spans="7:7" x14ac:dyDescent="0.3">
      <c r="G485" s="10"/>
    </row>
    <row r="486" spans="7:7" x14ac:dyDescent="0.3">
      <c r="G486" s="10"/>
    </row>
    <row r="487" spans="7:7" x14ac:dyDescent="0.3">
      <c r="G487" s="10"/>
    </row>
    <row r="488" spans="7:7" x14ac:dyDescent="0.3">
      <c r="G488" s="10"/>
    </row>
    <row r="489" spans="7:7" x14ac:dyDescent="0.3">
      <c r="G489" s="10"/>
    </row>
    <row r="490" spans="7:7" x14ac:dyDescent="0.3">
      <c r="G490" s="10"/>
    </row>
    <row r="491" spans="7:7" x14ac:dyDescent="0.3">
      <c r="G491" s="10"/>
    </row>
    <row r="492" spans="7:7" x14ac:dyDescent="0.3">
      <c r="G492" s="10"/>
    </row>
    <row r="493" spans="7:7" x14ac:dyDescent="0.3">
      <c r="G493" s="10"/>
    </row>
    <row r="494" spans="7:7" x14ac:dyDescent="0.3">
      <c r="G494" s="10"/>
    </row>
    <row r="495" spans="7:7" x14ac:dyDescent="0.3">
      <c r="G495" s="10"/>
    </row>
    <row r="496" spans="7:7" x14ac:dyDescent="0.3">
      <c r="G496" s="10"/>
    </row>
    <row r="497" spans="7:7" x14ac:dyDescent="0.3">
      <c r="G497" s="10"/>
    </row>
    <row r="498" spans="7:7" x14ac:dyDescent="0.3">
      <c r="G498" s="10"/>
    </row>
    <row r="499" spans="7:7" x14ac:dyDescent="0.3">
      <c r="G499" s="10"/>
    </row>
    <row r="500" spans="7:7" x14ac:dyDescent="0.3">
      <c r="G500" s="10"/>
    </row>
    <row r="501" spans="7:7" x14ac:dyDescent="0.3">
      <c r="G501" s="10"/>
    </row>
    <row r="502" spans="7:7" x14ac:dyDescent="0.3">
      <c r="G502" s="10"/>
    </row>
    <row r="503" spans="7:7" x14ac:dyDescent="0.3">
      <c r="G503" s="10"/>
    </row>
    <row r="504" spans="7:7" x14ac:dyDescent="0.3">
      <c r="G504" s="10"/>
    </row>
    <row r="505" spans="7:7" x14ac:dyDescent="0.3">
      <c r="G505" s="10"/>
    </row>
    <row r="506" spans="7:7" x14ac:dyDescent="0.3">
      <c r="G506" s="10"/>
    </row>
    <row r="507" spans="7:7" x14ac:dyDescent="0.3">
      <c r="G507" s="10"/>
    </row>
    <row r="508" spans="7:7" x14ac:dyDescent="0.3">
      <c r="G508" s="10"/>
    </row>
    <row r="509" spans="7:7" x14ac:dyDescent="0.3">
      <c r="G509" s="10"/>
    </row>
    <row r="510" spans="7:7" x14ac:dyDescent="0.3">
      <c r="G510" s="10"/>
    </row>
    <row r="511" spans="7:7" x14ac:dyDescent="0.3">
      <c r="G511" s="10"/>
    </row>
    <row r="512" spans="7:7" x14ac:dyDescent="0.3">
      <c r="G512" s="10"/>
    </row>
    <row r="513" spans="7:7" x14ac:dyDescent="0.3">
      <c r="G513" s="10"/>
    </row>
    <row r="514" spans="7:7" x14ac:dyDescent="0.3">
      <c r="G514" s="10"/>
    </row>
    <row r="515" spans="7:7" x14ac:dyDescent="0.3">
      <c r="G515" s="10"/>
    </row>
    <row r="516" spans="7:7" x14ac:dyDescent="0.3">
      <c r="G516" s="10"/>
    </row>
    <row r="517" spans="7:7" x14ac:dyDescent="0.3">
      <c r="G517" s="10"/>
    </row>
    <row r="518" spans="7:7" x14ac:dyDescent="0.3">
      <c r="G518" s="10"/>
    </row>
    <row r="519" spans="7:7" x14ac:dyDescent="0.3">
      <c r="G519" s="10"/>
    </row>
    <row r="520" spans="7:7" x14ac:dyDescent="0.3">
      <c r="G520" s="10"/>
    </row>
    <row r="521" spans="7:7" x14ac:dyDescent="0.3">
      <c r="G521" s="10"/>
    </row>
    <row r="522" spans="7:7" x14ac:dyDescent="0.3">
      <c r="G522" s="10"/>
    </row>
    <row r="523" spans="7:7" x14ac:dyDescent="0.3">
      <c r="G523" s="10"/>
    </row>
    <row r="524" spans="7:7" x14ac:dyDescent="0.3">
      <c r="G524" s="10"/>
    </row>
    <row r="525" spans="7:7" x14ac:dyDescent="0.3">
      <c r="G525" s="10"/>
    </row>
    <row r="526" spans="7:7" x14ac:dyDescent="0.3">
      <c r="G526" s="10"/>
    </row>
    <row r="527" spans="7:7" x14ac:dyDescent="0.3">
      <c r="G527" s="10"/>
    </row>
    <row r="528" spans="7:7" x14ac:dyDescent="0.3">
      <c r="G528" s="10"/>
    </row>
    <row r="529" spans="7:7" x14ac:dyDescent="0.3">
      <c r="G529" s="10"/>
    </row>
    <row r="530" spans="7:7" x14ac:dyDescent="0.3">
      <c r="G530" s="10"/>
    </row>
    <row r="531" spans="7:7" x14ac:dyDescent="0.3">
      <c r="G531" s="10"/>
    </row>
    <row r="532" spans="7:7" x14ac:dyDescent="0.3">
      <c r="G532" s="10"/>
    </row>
    <row r="533" spans="7:7" x14ac:dyDescent="0.3">
      <c r="G533" s="10"/>
    </row>
    <row r="534" spans="7:7" x14ac:dyDescent="0.3">
      <c r="G534" s="10"/>
    </row>
    <row r="535" spans="7:7" x14ac:dyDescent="0.3">
      <c r="G535" s="10"/>
    </row>
    <row r="536" spans="7:7" x14ac:dyDescent="0.3">
      <c r="G536" s="10"/>
    </row>
    <row r="537" spans="7:7" x14ac:dyDescent="0.3">
      <c r="G537" s="10"/>
    </row>
    <row r="538" spans="7:7" x14ac:dyDescent="0.3">
      <c r="G538" s="10"/>
    </row>
    <row r="539" spans="7:7" x14ac:dyDescent="0.3">
      <c r="G539" s="10"/>
    </row>
    <row r="540" spans="7:7" x14ac:dyDescent="0.3">
      <c r="G540" s="10"/>
    </row>
    <row r="541" spans="7:7" x14ac:dyDescent="0.3">
      <c r="G541" s="10"/>
    </row>
    <row r="542" spans="7:7" x14ac:dyDescent="0.3">
      <c r="G542" s="10"/>
    </row>
    <row r="543" spans="7:7" x14ac:dyDescent="0.3">
      <c r="G543" s="10"/>
    </row>
    <row r="544" spans="7:7" x14ac:dyDescent="0.3">
      <c r="G544" s="10"/>
    </row>
    <row r="545" spans="7:7" x14ac:dyDescent="0.3">
      <c r="G545" s="10"/>
    </row>
    <row r="546" spans="7:7" x14ac:dyDescent="0.3">
      <c r="G546" s="10"/>
    </row>
    <row r="547" spans="7:7" x14ac:dyDescent="0.3">
      <c r="G547" s="10"/>
    </row>
    <row r="548" spans="7:7" x14ac:dyDescent="0.3">
      <c r="G548" s="10"/>
    </row>
    <row r="549" spans="7:7" x14ac:dyDescent="0.3">
      <c r="G549" s="10"/>
    </row>
    <row r="550" spans="7:7" x14ac:dyDescent="0.3">
      <c r="G550" s="10"/>
    </row>
    <row r="551" spans="7:7" x14ac:dyDescent="0.3">
      <c r="G551" s="10"/>
    </row>
    <row r="552" spans="7:7" x14ac:dyDescent="0.3">
      <c r="G552" s="10"/>
    </row>
    <row r="553" spans="7:7" x14ac:dyDescent="0.3">
      <c r="G553" s="10"/>
    </row>
    <row r="554" spans="7:7" x14ac:dyDescent="0.3">
      <c r="G554" s="10"/>
    </row>
    <row r="555" spans="7:7" x14ac:dyDescent="0.3">
      <c r="G555" s="10"/>
    </row>
    <row r="556" spans="7:7" x14ac:dyDescent="0.3">
      <c r="G556" s="10"/>
    </row>
    <row r="557" spans="7:7" x14ac:dyDescent="0.3">
      <c r="G557" s="10"/>
    </row>
    <row r="558" spans="7:7" x14ac:dyDescent="0.3">
      <c r="G558" s="10"/>
    </row>
    <row r="559" spans="7:7" x14ac:dyDescent="0.3">
      <c r="G559" s="10"/>
    </row>
    <row r="560" spans="7:7" x14ac:dyDescent="0.3">
      <c r="G560" s="10"/>
    </row>
    <row r="561" spans="7:7" x14ac:dyDescent="0.3">
      <c r="G561" s="10"/>
    </row>
    <row r="562" spans="7:7" x14ac:dyDescent="0.3">
      <c r="G562" s="10"/>
    </row>
    <row r="563" spans="7:7" x14ac:dyDescent="0.3">
      <c r="G563" s="10"/>
    </row>
    <row r="564" spans="7:7" x14ac:dyDescent="0.3">
      <c r="G564" s="10"/>
    </row>
    <row r="565" spans="7:7" x14ac:dyDescent="0.3">
      <c r="G565" s="10"/>
    </row>
    <row r="566" spans="7:7" x14ac:dyDescent="0.3">
      <c r="G566" s="10"/>
    </row>
    <row r="567" spans="7:7" x14ac:dyDescent="0.3">
      <c r="G567" s="10"/>
    </row>
    <row r="568" spans="7:7" x14ac:dyDescent="0.3">
      <c r="G568" s="10"/>
    </row>
    <row r="569" spans="7:7" x14ac:dyDescent="0.3">
      <c r="G569" s="10"/>
    </row>
    <row r="570" spans="7:7" x14ac:dyDescent="0.3">
      <c r="G570" s="10"/>
    </row>
    <row r="571" spans="7:7" x14ac:dyDescent="0.3">
      <c r="G571" s="10"/>
    </row>
    <row r="572" spans="7:7" x14ac:dyDescent="0.3">
      <c r="G572" s="10"/>
    </row>
    <row r="573" spans="7:7" x14ac:dyDescent="0.3">
      <c r="G573" s="10"/>
    </row>
    <row r="574" spans="7:7" x14ac:dyDescent="0.3">
      <c r="G574" s="10"/>
    </row>
    <row r="575" spans="7:7" x14ac:dyDescent="0.3">
      <c r="G575" s="10"/>
    </row>
    <row r="576" spans="7:7" x14ac:dyDescent="0.3">
      <c r="G576" s="10"/>
    </row>
    <row r="577" spans="7:7" x14ac:dyDescent="0.3">
      <c r="G577" s="10"/>
    </row>
    <row r="578" spans="7:7" x14ac:dyDescent="0.3">
      <c r="G578" s="10"/>
    </row>
    <row r="579" spans="7:7" x14ac:dyDescent="0.3">
      <c r="G579" s="10"/>
    </row>
    <row r="580" spans="7:7" x14ac:dyDescent="0.3">
      <c r="G580" s="10"/>
    </row>
    <row r="581" spans="7:7" x14ac:dyDescent="0.3">
      <c r="G581" s="10"/>
    </row>
    <row r="582" spans="7:7" x14ac:dyDescent="0.3">
      <c r="G582" s="10"/>
    </row>
    <row r="583" spans="7:7" x14ac:dyDescent="0.3">
      <c r="G583" s="10"/>
    </row>
    <row r="584" spans="7:7" x14ac:dyDescent="0.3">
      <c r="G584" s="10"/>
    </row>
    <row r="585" spans="7:7" x14ac:dyDescent="0.3">
      <c r="G585" s="10"/>
    </row>
    <row r="586" spans="7:7" x14ac:dyDescent="0.3">
      <c r="G586" s="10"/>
    </row>
    <row r="587" spans="7:7" x14ac:dyDescent="0.3">
      <c r="G587" s="10"/>
    </row>
    <row r="588" spans="7:7" x14ac:dyDescent="0.3">
      <c r="G588" s="10"/>
    </row>
    <row r="589" spans="7:7" x14ac:dyDescent="0.3">
      <c r="G589" s="10"/>
    </row>
    <row r="590" spans="7:7" x14ac:dyDescent="0.3">
      <c r="G590" s="10"/>
    </row>
    <row r="591" spans="7:7" x14ac:dyDescent="0.3">
      <c r="G591" s="10"/>
    </row>
    <row r="592" spans="7:7" x14ac:dyDescent="0.3">
      <c r="G592" s="10"/>
    </row>
    <row r="593" spans="7:7" x14ac:dyDescent="0.3">
      <c r="G593" s="10"/>
    </row>
    <row r="594" spans="7:7" x14ac:dyDescent="0.3">
      <c r="G594" s="10"/>
    </row>
    <row r="595" spans="7:7" x14ac:dyDescent="0.3">
      <c r="G595" s="10"/>
    </row>
    <row r="596" spans="7:7" x14ac:dyDescent="0.3">
      <c r="G596" s="10"/>
    </row>
    <row r="597" spans="7:7" x14ac:dyDescent="0.3">
      <c r="G597" s="10"/>
    </row>
    <row r="598" spans="7:7" x14ac:dyDescent="0.3">
      <c r="G598" s="10"/>
    </row>
    <row r="599" spans="7:7" x14ac:dyDescent="0.3">
      <c r="G599" s="10"/>
    </row>
    <row r="600" spans="7:7" x14ac:dyDescent="0.3">
      <c r="G600" s="10"/>
    </row>
    <row r="601" spans="7:7" x14ac:dyDescent="0.3">
      <c r="G601" s="10"/>
    </row>
    <row r="602" spans="7:7" x14ac:dyDescent="0.3">
      <c r="G602" s="10"/>
    </row>
    <row r="603" spans="7:7" x14ac:dyDescent="0.3">
      <c r="G603" s="10"/>
    </row>
    <row r="604" spans="7:7" x14ac:dyDescent="0.3">
      <c r="G604" s="10"/>
    </row>
    <row r="605" spans="7:7" x14ac:dyDescent="0.3">
      <c r="G605" s="10"/>
    </row>
    <row r="606" spans="7:7" x14ac:dyDescent="0.3">
      <c r="G606" s="10"/>
    </row>
    <row r="607" spans="7:7" x14ac:dyDescent="0.3">
      <c r="G607" s="10"/>
    </row>
    <row r="608" spans="7:7" x14ac:dyDescent="0.3">
      <c r="G608" s="10"/>
    </row>
    <row r="609" spans="7:7" x14ac:dyDescent="0.3">
      <c r="G609" s="10"/>
    </row>
    <row r="610" spans="7:7" x14ac:dyDescent="0.3">
      <c r="G610" s="10"/>
    </row>
    <row r="611" spans="7:7" x14ac:dyDescent="0.3">
      <c r="G611" s="10"/>
    </row>
    <row r="612" spans="7:7" x14ac:dyDescent="0.3">
      <c r="G612" s="10"/>
    </row>
    <row r="613" spans="7:7" x14ac:dyDescent="0.3">
      <c r="G613" s="10"/>
    </row>
    <row r="614" spans="7:7" x14ac:dyDescent="0.3">
      <c r="G614" s="10"/>
    </row>
    <row r="615" spans="7:7" x14ac:dyDescent="0.3">
      <c r="G615" s="10"/>
    </row>
    <row r="616" spans="7:7" x14ac:dyDescent="0.3">
      <c r="G616" s="10"/>
    </row>
    <row r="617" spans="7:7" x14ac:dyDescent="0.3">
      <c r="G617" s="10"/>
    </row>
    <row r="618" spans="7:7" x14ac:dyDescent="0.3">
      <c r="G618" s="10"/>
    </row>
    <row r="619" spans="7:7" x14ac:dyDescent="0.3">
      <c r="G619" s="10"/>
    </row>
    <row r="620" spans="7:7" x14ac:dyDescent="0.3">
      <c r="G620" s="10"/>
    </row>
    <row r="621" spans="7:7" x14ac:dyDescent="0.3">
      <c r="G621" s="10"/>
    </row>
    <row r="622" spans="7:7" x14ac:dyDescent="0.3">
      <c r="G622" s="10"/>
    </row>
    <row r="623" spans="7:7" x14ac:dyDescent="0.3">
      <c r="G623" s="10"/>
    </row>
    <row r="624" spans="7:7" x14ac:dyDescent="0.3">
      <c r="G624" s="10"/>
    </row>
    <row r="625" spans="7:7" x14ac:dyDescent="0.3">
      <c r="G625" s="10"/>
    </row>
    <row r="626" spans="7:7" x14ac:dyDescent="0.3">
      <c r="G626" s="10"/>
    </row>
    <row r="627" spans="7:7" x14ac:dyDescent="0.3">
      <c r="G627" s="10"/>
    </row>
    <row r="628" spans="7:7" x14ac:dyDescent="0.3">
      <c r="G628" s="10"/>
    </row>
    <row r="629" spans="7:7" x14ac:dyDescent="0.3">
      <c r="G629" s="10"/>
    </row>
    <row r="630" spans="7:7" x14ac:dyDescent="0.3">
      <c r="G630" s="10"/>
    </row>
    <row r="631" spans="7:7" x14ac:dyDescent="0.3">
      <c r="G631" s="10"/>
    </row>
    <row r="632" spans="7:7" x14ac:dyDescent="0.3">
      <c r="G632" s="10"/>
    </row>
    <row r="633" spans="7:7" x14ac:dyDescent="0.3">
      <c r="G633" s="10"/>
    </row>
    <row r="634" spans="7:7" x14ac:dyDescent="0.3">
      <c r="G634" s="10"/>
    </row>
    <row r="635" spans="7:7" x14ac:dyDescent="0.3">
      <c r="G635" s="10"/>
    </row>
    <row r="636" spans="7:7" x14ac:dyDescent="0.3">
      <c r="G636" s="10"/>
    </row>
    <row r="637" spans="7:7" x14ac:dyDescent="0.3">
      <c r="G637" s="10"/>
    </row>
    <row r="638" spans="7:7" x14ac:dyDescent="0.3">
      <c r="G638" s="10"/>
    </row>
    <row r="639" spans="7:7" x14ac:dyDescent="0.3">
      <c r="G639" s="10"/>
    </row>
    <row r="640" spans="7:7" x14ac:dyDescent="0.3">
      <c r="G640" s="10"/>
    </row>
    <row r="641" spans="7:7" x14ac:dyDescent="0.3">
      <c r="G641" s="10"/>
    </row>
    <row r="642" spans="7:7" x14ac:dyDescent="0.3">
      <c r="G642" s="10"/>
    </row>
    <row r="643" spans="7:7" x14ac:dyDescent="0.3">
      <c r="G643" s="10"/>
    </row>
    <row r="644" spans="7:7" x14ac:dyDescent="0.3">
      <c r="G644" s="10"/>
    </row>
    <row r="645" spans="7:7" x14ac:dyDescent="0.3">
      <c r="G645" s="10"/>
    </row>
    <row r="646" spans="7:7" x14ac:dyDescent="0.3">
      <c r="G646" s="10"/>
    </row>
    <row r="647" spans="7:7" x14ac:dyDescent="0.3">
      <c r="G647" s="10"/>
    </row>
    <row r="648" spans="7:7" x14ac:dyDescent="0.3">
      <c r="G648" s="10"/>
    </row>
    <row r="649" spans="7:7" x14ac:dyDescent="0.3">
      <c r="G649" s="10"/>
    </row>
    <row r="650" spans="7:7" x14ac:dyDescent="0.3">
      <c r="G650" s="10"/>
    </row>
    <row r="651" spans="7:7" x14ac:dyDescent="0.3">
      <c r="G651" s="10"/>
    </row>
    <row r="652" spans="7:7" x14ac:dyDescent="0.3">
      <c r="G652" s="10"/>
    </row>
    <row r="653" spans="7:7" x14ac:dyDescent="0.3">
      <c r="G653" s="10"/>
    </row>
    <row r="654" spans="7:7" x14ac:dyDescent="0.3">
      <c r="G654" s="10"/>
    </row>
    <row r="655" spans="7:7" x14ac:dyDescent="0.3">
      <c r="G655" s="10"/>
    </row>
    <row r="656" spans="7:7" x14ac:dyDescent="0.3">
      <c r="G656" s="10"/>
    </row>
    <row r="657" spans="7:7" x14ac:dyDescent="0.3">
      <c r="G657" s="10"/>
    </row>
    <row r="658" spans="7:7" x14ac:dyDescent="0.3">
      <c r="G658" s="10"/>
    </row>
    <row r="659" spans="7:7" x14ac:dyDescent="0.3">
      <c r="G659" s="10"/>
    </row>
    <row r="660" spans="7:7" x14ac:dyDescent="0.3">
      <c r="G660" s="10"/>
    </row>
    <row r="661" spans="7:7" x14ac:dyDescent="0.3">
      <c r="G661" s="10"/>
    </row>
    <row r="662" spans="7:7" x14ac:dyDescent="0.3">
      <c r="G662" s="10"/>
    </row>
    <row r="663" spans="7:7" x14ac:dyDescent="0.3">
      <c r="G663" s="10"/>
    </row>
    <row r="664" spans="7:7" x14ac:dyDescent="0.3">
      <c r="G664" s="10"/>
    </row>
    <row r="665" spans="7:7" x14ac:dyDescent="0.3">
      <c r="G665" s="10"/>
    </row>
    <row r="666" spans="7:7" x14ac:dyDescent="0.3">
      <c r="G666" s="10"/>
    </row>
    <row r="667" spans="7:7" x14ac:dyDescent="0.3">
      <c r="G667" s="10"/>
    </row>
    <row r="668" spans="7:7" x14ac:dyDescent="0.3">
      <c r="G668" s="10"/>
    </row>
    <row r="669" spans="7:7" x14ac:dyDescent="0.3">
      <c r="G669" s="10"/>
    </row>
    <row r="670" spans="7:7" x14ac:dyDescent="0.3">
      <c r="G670" s="10"/>
    </row>
    <row r="671" spans="7:7" x14ac:dyDescent="0.3">
      <c r="G671" s="10"/>
    </row>
    <row r="672" spans="7:7" x14ac:dyDescent="0.3">
      <c r="G672" s="10"/>
    </row>
    <row r="673" spans="7:7" x14ac:dyDescent="0.3">
      <c r="G673" s="10"/>
    </row>
    <row r="674" spans="7:7" x14ac:dyDescent="0.3">
      <c r="G674" s="10"/>
    </row>
    <row r="675" spans="7:7" x14ac:dyDescent="0.3">
      <c r="G675" s="10"/>
    </row>
    <row r="676" spans="7:7" x14ac:dyDescent="0.3">
      <c r="G676" s="10"/>
    </row>
    <row r="677" spans="7:7" x14ac:dyDescent="0.3">
      <c r="G677" s="10"/>
    </row>
    <row r="678" spans="7:7" x14ac:dyDescent="0.3">
      <c r="G678" s="10"/>
    </row>
    <row r="679" spans="7:7" x14ac:dyDescent="0.3">
      <c r="G679" s="10"/>
    </row>
    <row r="680" spans="7:7" x14ac:dyDescent="0.3">
      <c r="G680" s="10"/>
    </row>
    <row r="681" spans="7:7" x14ac:dyDescent="0.3">
      <c r="G681" s="10"/>
    </row>
    <row r="682" spans="7:7" x14ac:dyDescent="0.3">
      <c r="G682" s="10"/>
    </row>
    <row r="683" spans="7:7" x14ac:dyDescent="0.3">
      <c r="G683" s="10"/>
    </row>
    <row r="684" spans="7:7" x14ac:dyDescent="0.3">
      <c r="G684" s="10"/>
    </row>
    <row r="685" spans="7:7" x14ac:dyDescent="0.3">
      <c r="G685" s="10"/>
    </row>
    <row r="686" spans="7:7" x14ac:dyDescent="0.3">
      <c r="G686" s="10"/>
    </row>
    <row r="687" spans="7:7" x14ac:dyDescent="0.3">
      <c r="G687" s="10"/>
    </row>
    <row r="688" spans="7:7" x14ac:dyDescent="0.3">
      <c r="G688" s="10"/>
    </row>
    <row r="689" spans="7:7" x14ac:dyDescent="0.3">
      <c r="G689" s="10"/>
    </row>
    <row r="690" spans="7:7" x14ac:dyDescent="0.3">
      <c r="G690" s="10"/>
    </row>
    <row r="691" spans="7:7" x14ac:dyDescent="0.3">
      <c r="G691" s="10"/>
    </row>
    <row r="692" spans="7:7" x14ac:dyDescent="0.3">
      <c r="G692" s="10"/>
    </row>
    <row r="693" spans="7:7" x14ac:dyDescent="0.3">
      <c r="G693" s="10"/>
    </row>
    <row r="694" spans="7:7" x14ac:dyDescent="0.3">
      <c r="G694" s="10"/>
    </row>
    <row r="695" spans="7:7" x14ac:dyDescent="0.3">
      <c r="G695" s="10"/>
    </row>
    <row r="696" spans="7:7" x14ac:dyDescent="0.3">
      <c r="G696" s="10"/>
    </row>
    <row r="697" spans="7:7" x14ac:dyDescent="0.3">
      <c r="G697" s="10"/>
    </row>
    <row r="698" spans="7:7" x14ac:dyDescent="0.3">
      <c r="G698" s="10"/>
    </row>
    <row r="699" spans="7:7" x14ac:dyDescent="0.3">
      <c r="G699" s="10"/>
    </row>
    <row r="700" spans="7:7" x14ac:dyDescent="0.3">
      <c r="G700" s="10"/>
    </row>
    <row r="701" spans="7:7" x14ac:dyDescent="0.3">
      <c r="G701" s="10"/>
    </row>
    <row r="702" spans="7:7" x14ac:dyDescent="0.3">
      <c r="G702" s="10"/>
    </row>
    <row r="703" spans="7:7" x14ac:dyDescent="0.3">
      <c r="G703" s="10"/>
    </row>
    <row r="704" spans="7:7" x14ac:dyDescent="0.3">
      <c r="G704" s="10"/>
    </row>
    <row r="705" spans="7:7" x14ac:dyDescent="0.3">
      <c r="G705" s="10"/>
    </row>
    <row r="706" spans="7:7" x14ac:dyDescent="0.3">
      <c r="G706" s="10"/>
    </row>
    <row r="707" spans="7:7" x14ac:dyDescent="0.3">
      <c r="G707" s="10"/>
    </row>
    <row r="708" spans="7:7" x14ac:dyDescent="0.3">
      <c r="G708" s="10"/>
    </row>
    <row r="709" spans="7:7" x14ac:dyDescent="0.3">
      <c r="G709" s="10"/>
    </row>
    <row r="710" spans="7:7" x14ac:dyDescent="0.3">
      <c r="G710" s="10"/>
    </row>
    <row r="711" spans="7:7" x14ac:dyDescent="0.3">
      <c r="G711" s="10"/>
    </row>
    <row r="712" spans="7:7" x14ac:dyDescent="0.3">
      <c r="G712" s="10"/>
    </row>
    <row r="713" spans="7:7" x14ac:dyDescent="0.3">
      <c r="G713" s="10"/>
    </row>
    <row r="714" spans="7:7" x14ac:dyDescent="0.3">
      <c r="G714" s="10"/>
    </row>
    <row r="715" spans="7:7" x14ac:dyDescent="0.3">
      <c r="G715" s="10"/>
    </row>
    <row r="716" spans="7:7" x14ac:dyDescent="0.3">
      <c r="G716" s="10"/>
    </row>
    <row r="717" spans="7:7" x14ac:dyDescent="0.3">
      <c r="G717" s="10"/>
    </row>
    <row r="718" spans="7:7" x14ac:dyDescent="0.3">
      <c r="G718" s="10"/>
    </row>
    <row r="719" spans="7:7" x14ac:dyDescent="0.3">
      <c r="G719" s="10"/>
    </row>
    <row r="720" spans="7:7" x14ac:dyDescent="0.3">
      <c r="G720" s="10"/>
    </row>
    <row r="721" spans="7:7" x14ac:dyDescent="0.3">
      <c r="G721" s="10"/>
    </row>
    <row r="722" spans="7:7" x14ac:dyDescent="0.3">
      <c r="G722" s="10"/>
    </row>
    <row r="723" spans="7:7" x14ac:dyDescent="0.3">
      <c r="G723" s="10"/>
    </row>
    <row r="724" spans="7:7" x14ac:dyDescent="0.3">
      <c r="G724" s="10"/>
    </row>
    <row r="725" spans="7:7" x14ac:dyDescent="0.3">
      <c r="G725" s="10"/>
    </row>
    <row r="726" spans="7:7" x14ac:dyDescent="0.3">
      <c r="G726" s="10"/>
    </row>
    <row r="727" spans="7:7" x14ac:dyDescent="0.3">
      <c r="G727" s="10"/>
    </row>
    <row r="728" spans="7:7" x14ac:dyDescent="0.3">
      <c r="G728" s="10"/>
    </row>
    <row r="729" spans="7:7" x14ac:dyDescent="0.3">
      <c r="G729" s="10"/>
    </row>
    <row r="730" spans="7:7" x14ac:dyDescent="0.3">
      <c r="G730" s="10"/>
    </row>
    <row r="731" spans="7:7" x14ac:dyDescent="0.3">
      <c r="G731" s="10"/>
    </row>
    <row r="732" spans="7:7" x14ac:dyDescent="0.3">
      <c r="G732" s="10"/>
    </row>
    <row r="733" spans="7:7" x14ac:dyDescent="0.3">
      <c r="G733" s="10"/>
    </row>
    <row r="734" spans="7:7" x14ac:dyDescent="0.3">
      <c r="G734" s="10"/>
    </row>
    <row r="735" spans="7:7" x14ac:dyDescent="0.3">
      <c r="G735" s="10"/>
    </row>
    <row r="736" spans="7:7" x14ac:dyDescent="0.3">
      <c r="G736" s="10"/>
    </row>
    <row r="737" spans="7:7" x14ac:dyDescent="0.3">
      <c r="G737" s="10"/>
    </row>
    <row r="738" spans="7:7" x14ac:dyDescent="0.3">
      <c r="G738" s="10"/>
    </row>
    <row r="739" spans="7:7" x14ac:dyDescent="0.3">
      <c r="G739" s="10"/>
    </row>
    <row r="740" spans="7:7" x14ac:dyDescent="0.3">
      <c r="G740" s="10"/>
    </row>
    <row r="741" spans="7:7" x14ac:dyDescent="0.3">
      <c r="G741" s="10"/>
    </row>
    <row r="742" spans="7:7" x14ac:dyDescent="0.3">
      <c r="G742" s="10"/>
    </row>
    <row r="743" spans="7:7" x14ac:dyDescent="0.3">
      <c r="G743" s="10"/>
    </row>
    <row r="744" spans="7:7" x14ac:dyDescent="0.3">
      <c r="G744" s="10"/>
    </row>
    <row r="745" spans="7:7" x14ac:dyDescent="0.3">
      <c r="G745" s="10"/>
    </row>
    <row r="746" spans="7:7" x14ac:dyDescent="0.3">
      <c r="G746" s="10"/>
    </row>
    <row r="747" spans="7:7" x14ac:dyDescent="0.3">
      <c r="G747" s="10"/>
    </row>
    <row r="748" spans="7:7" x14ac:dyDescent="0.3">
      <c r="G748" s="10"/>
    </row>
    <row r="749" spans="7:7" x14ac:dyDescent="0.3">
      <c r="G749" s="10"/>
    </row>
    <row r="750" spans="7:7" x14ac:dyDescent="0.3">
      <c r="G750" s="10"/>
    </row>
    <row r="751" spans="7:7" x14ac:dyDescent="0.3">
      <c r="G751" s="10"/>
    </row>
    <row r="752" spans="7:7" x14ac:dyDescent="0.3">
      <c r="G752" s="10"/>
    </row>
    <row r="753" spans="7:7" x14ac:dyDescent="0.3">
      <c r="G753" s="10"/>
    </row>
    <row r="754" spans="7:7" x14ac:dyDescent="0.3">
      <c r="G754" s="10"/>
    </row>
    <row r="755" spans="7:7" x14ac:dyDescent="0.3">
      <c r="G755" s="10"/>
    </row>
    <row r="756" spans="7:7" x14ac:dyDescent="0.3">
      <c r="G756" s="10"/>
    </row>
    <row r="757" spans="7:7" x14ac:dyDescent="0.3">
      <c r="G757" s="10"/>
    </row>
    <row r="758" spans="7:7" x14ac:dyDescent="0.3">
      <c r="G758" s="10"/>
    </row>
    <row r="759" spans="7:7" x14ac:dyDescent="0.3">
      <c r="G759" s="10"/>
    </row>
    <row r="760" spans="7:7" x14ac:dyDescent="0.3">
      <c r="G760" s="10"/>
    </row>
    <row r="761" spans="7:7" x14ac:dyDescent="0.3">
      <c r="G761" s="10"/>
    </row>
    <row r="762" spans="7:7" x14ac:dyDescent="0.3">
      <c r="G762" s="10"/>
    </row>
    <row r="763" spans="7:7" x14ac:dyDescent="0.3">
      <c r="G763" s="10"/>
    </row>
    <row r="764" spans="7:7" x14ac:dyDescent="0.3">
      <c r="G764" s="10"/>
    </row>
    <row r="765" spans="7:7" x14ac:dyDescent="0.3">
      <c r="G765" s="10"/>
    </row>
    <row r="766" spans="7:7" x14ac:dyDescent="0.3">
      <c r="G766" s="10"/>
    </row>
    <row r="767" spans="7:7" x14ac:dyDescent="0.3">
      <c r="G767" s="10"/>
    </row>
    <row r="768" spans="7:7" x14ac:dyDescent="0.3">
      <c r="G768" s="10"/>
    </row>
    <row r="769" spans="7:7" x14ac:dyDescent="0.3">
      <c r="G769" s="10"/>
    </row>
    <row r="770" spans="7:7" x14ac:dyDescent="0.3">
      <c r="G770" s="10"/>
    </row>
    <row r="771" spans="7:7" x14ac:dyDescent="0.3">
      <c r="G771" s="10"/>
    </row>
    <row r="772" spans="7:7" x14ac:dyDescent="0.3">
      <c r="G772" s="10"/>
    </row>
    <row r="773" spans="7:7" x14ac:dyDescent="0.3">
      <c r="G773" s="10"/>
    </row>
    <row r="774" spans="7:7" x14ac:dyDescent="0.3">
      <c r="G774" s="10"/>
    </row>
    <row r="775" spans="7:7" x14ac:dyDescent="0.3">
      <c r="G775" s="10"/>
    </row>
    <row r="776" spans="7:7" x14ac:dyDescent="0.3">
      <c r="G776" s="10"/>
    </row>
    <row r="777" spans="7:7" x14ac:dyDescent="0.3">
      <c r="G777" s="10"/>
    </row>
    <row r="778" spans="7:7" x14ac:dyDescent="0.3">
      <c r="G778" s="10"/>
    </row>
    <row r="779" spans="7:7" x14ac:dyDescent="0.3">
      <c r="G779" s="10"/>
    </row>
    <row r="780" spans="7:7" x14ac:dyDescent="0.3">
      <c r="G780" s="10"/>
    </row>
    <row r="781" spans="7:7" x14ac:dyDescent="0.3">
      <c r="G781" s="10"/>
    </row>
    <row r="782" spans="7:7" x14ac:dyDescent="0.3">
      <c r="G782" s="10"/>
    </row>
    <row r="783" spans="7:7" x14ac:dyDescent="0.3">
      <c r="G783" s="10"/>
    </row>
    <row r="784" spans="7:7" x14ac:dyDescent="0.3">
      <c r="G784" s="10"/>
    </row>
    <row r="785" spans="7:7" x14ac:dyDescent="0.3">
      <c r="G785" s="10"/>
    </row>
    <row r="786" spans="7:7" x14ac:dyDescent="0.3">
      <c r="G786" s="10"/>
    </row>
    <row r="787" spans="7:7" x14ac:dyDescent="0.3">
      <c r="G787" s="10"/>
    </row>
    <row r="788" spans="7:7" x14ac:dyDescent="0.3">
      <c r="G788" s="10"/>
    </row>
    <row r="789" spans="7:7" x14ac:dyDescent="0.3">
      <c r="G789" s="10"/>
    </row>
    <row r="790" spans="7:7" x14ac:dyDescent="0.3">
      <c r="G790" s="10"/>
    </row>
    <row r="791" spans="7:7" x14ac:dyDescent="0.3">
      <c r="G791" s="10"/>
    </row>
    <row r="792" spans="7:7" x14ac:dyDescent="0.3">
      <c r="G792" s="10"/>
    </row>
    <row r="793" spans="7:7" x14ac:dyDescent="0.3">
      <c r="G793" s="10"/>
    </row>
    <row r="794" spans="7:7" x14ac:dyDescent="0.3">
      <c r="G794" s="10"/>
    </row>
    <row r="795" spans="7:7" x14ac:dyDescent="0.3">
      <c r="G795" s="10"/>
    </row>
    <row r="796" spans="7:7" x14ac:dyDescent="0.3">
      <c r="G796" s="10"/>
    </row>
    <row r="797" spans="7:7" x14ac:dyDescent="0.3">
      <c r="G797" s="10"/>
    </row>
    <row r="798" spans="7:7" x14ac:dyDescent="0.3">
      <c r="G798" s="10"/>
    </row>
    <row r="799" spans="7:7" x14ac:dyDescent="0.3">
      <c r="G799" s="10"/>
    </row>
    <row r="800" spans="7:7" x14ac:dyDescent="0.3">
      <c r="G800" s="10"/>
    </row>
    <row r="801" spans="7:7" x14ac:dyDescent="0.3">
      <c r="G801" s="10"/>
    </row>
    <row r="802" spans="7:7" x14ac:dyDescent="0.3">
      <c r="G802" s="10"/>
    </row>
    <row r="803" spans="7:7" x14ac:dyDescent="0.3">
      <c r="G803" s="10"/>
    </row>
    <row r="804" spans="7:7" x14ac:dyDescent="0.3">
      <c r="G804" s="10"/>
    </row>
    <row r="805" spans="7:7" x14ac:dyDescent="0.3">
      <c r="G805" s="10"/>
    </row>
    <row r="806" spans="7:7" x14ac:dyDescent="0.3">
      <c r="G806" s="10"/>
    </row>
    <row r="807" spans="7:7" x14ac:dyDescent="0.3">
      <c r="G807" s="10"/>
    </row>
    <row r="808" spans="7:7" x14ac:dyDescent="0.3">
      <c r="G808" s="10"/>
    </row>
    <row r="809" spans="7:7" x14ac:dyDescent="0.3">
      <c r="G809" s="10"/>
    </row>
    <row r="810" spans="7:7" x14ac:dyDescent="0.3">
      <c r="G810" s="10"/>
    </row>
    <row r="811" spans="7:7" x14ac:dyDescent="0.3">
      <c r="G811" s="10"/>
    </row>
    <row r="812" spans="7:7" x14ac:dyDescent="0.3">
      <c r="G812" s="10"/>
    </row>
    <row r="813" spans="7:7" x14ac:dyDescent="0.3">
      <c r="G813" s="10"/>
    </row>
    <row r="814" spans="7:7" x14ac:dyDescent="0.3">
      <c r="G814" s="10"/>
    </row>
    <row r="815" spans="7:7" x14ac:dyDescent="0.3">
      <c r="G815" s="10"/>
    </row>
    <row r="816" spans="7:7" x14ac:dyDescent="0.3">
      <c r="G816" s="10"/>
    </row>
    <row r="817" spans="7:7" x14ac:dyDescent="0.3">
      <c r="G817" s="10"/>
    </row>
    <row r="818" spans="7:7" x14ac:dyDescent="0.3">
      <c r="G818" s="10"/>
    </row>
    <row r="819" spans="7:7" x14ac:dyDescent="0.3">
      <c r="G819" s="10"/>
    </row>
    <row r="820" spans="7:7" x14ac:dyDescent="0.3">
      <c r="G820" s="10"/>
    </row>
    <row r="821" spans="7:7" x14ac:dyDescent="0.3">
      <c r="G821" s="10"/>
    </row>
    <row r="822" spans="7:7" x14ac:dyDescent="0.3">
      <c r="G822" s="10"/>
    </row>
    <row r="823" spans="7:7" x14ac:dyDescent="0.3">
      <c r="G823" s="10"/>
    </row>
    <row r="824" spans="7:7" x14ac:dyDescent="0.3">
      <c r="G824" s="10"/>
    </row>
    <row r="825" spans="7:7" x14ac:dyDescent="0.3">
      <c r="G825" s="10"/>
    </row>
    <row r="826" spans="7:7" x14ac:dyDescent="0.3">
      <c r="G826" s="10"/>
    </row>
    <row r="827" spans="7:7" x14ac:dyDescent="0.3">
      <c r="G827" s="10"/>
    </row>
    <row r="828" spans="7:7" x14ac:dyDescent="0.3">
      <c r="G828" s="10"/>
    </row>
    <row r="829" spans="7:7" x14ac:dyDescent="0.3">
      <c r="G829" s="10"/>
    </row>
    <row r="830" spans="7:7" x14ac:dyDescent="0.3">
      <c r="G830" s="10"/>
    </row>
    <row r="831" spans="7:7" x14ac:dyDescent="0.3">
      <c r="G831" s="10"/>
    </row>
    <row r="832" spans="7:7" x14ac:dyDescent="0.3">
      <c r="G832" s="10"/>
    </row>
    <row r="833" spans="7:7" x14ac:dyDescent="0.3">
      <c r="G833" s="10"/>
    </row>
    <row r="834" spans="7:7" x14ac:dyDescent="0.3">
      <c r="G834" s="10"/>
    </row>
    <row r="835" spans="7:7" x14ac:dyDescent="0.3">
      <c r="G835" s="10"/>
    </row>
    <row r="836" spans="7:7" x14ac:dyDescent="0.3">
      <c r="G836" s="10"/>
    </row>
    <row r="837" spans="7:7" x14ac:dyDescent="0.3">
      <c r="G837" s="10"/>
    </row>
    <row r="838" spans="7:7" x14ac:dyDescent="0.3">
      <c r="G838" s="10"/>
    </row>
    <row r="839" spans="7:7" x14ac:dyDescent="0.3">
      <c r="G839" s="10"/>
    </row>
    <row r="840" spans="7:7" x14ac:dyDescent="0.3">
      <c r="G840" s="10"/>
    </row>
    <row r="841" spans="7:7" x14ac:dyDescent="0.3">
      <c r="G841" s="10"/>
    </row>
    <row r="842" spans="7:7" x14ac:dyDescent="0.3">
      <c r="G842" s="10"/>
    </row>
    <row r="843" spans="7:7" x14ac:dyDescent="0.3">
      <c r="G843" s="10"/>
    </row>
    <row r="844" spans="7:7" x14ac:dyDescent="0.3">
      <c r="G844" s="10"/>
    </row>
    <row r="845" spans="7:7" x14ac:dyDescent="0.3">
      <c r="G845" s="10"/>
    </row>
    <row r="846" spans="7:7" x14ac:dyDescent="0.3">
      <c r="G846" s="10"/>
    </row>
    <row r="847" spans="7:7" x14ac:dyDescent="0.3">
      <c r="G847" s="10"/>
    </row>
    <row r="848" spans="7:7" x14ac:dyDescent="0.3">
      <c r="G848" s="10"/>
    </row>
    <row r="849" spans="7:7" x14ac:dyDescent="0.3">
      <c r="G849" s="10"/>
    </row>
    <row r="850" spans="7:7" x14ac:dyDescent="0.3">
      <c r="G850" s="10"/>
    </row>
    <row r="851" spans="7:7" x14ac:dyDescent="0.3">
      <c r="G851" s="10"/>
    </row>
    <row r="852" spans="7:7" x14ac:dyDescent="0.3">
      <c r="G852" s="10"/>
    </row>
    <row r="853" spans="7:7" x14ac:dyDescent="0.3">
      <c r="G853" s="10"/>
    </row>
    <row r="854" spans="7:7" x14ac:dyDescent="0.3">
      <c r="G854" s="10"/>
    </row>
    <row r="855" spans="7:7" x14ac:dyDescent="0.3">
      <c r="G855" s="10"/>
    </row>
    <row r="856" spans="7:7" x14ac:dyDescent="0.3">
      <c r="G856" s="10"/>
    </row>
    <row r="857" spans="7:7" x14ac:dyDescent="0.3">
      <c r="G857" s="10"/>
    </row>
    <row r="858" spans="7:7" x14ac:dyDescent="0.3">
      <c r="G858" s="10"/>
    </row>
    <row r="859" spans="7:7" x14ac:dyDescent="0.3">
      <c r="G859" s="10"/>
    </row>
    <row r="860" spans="7:7" x14ac:dyDescent="0.3">
      <c r="G860" s="10"/>
    </row>
    <row r="861" spans="7:7" x14ac:dyDescent="0.3">
      <c r="G861" s="10"/>
    </row>
    <row r="862" spans="7:7" x14ac:dyDescent="0.3">
      <c r="G862" s="10"/>
    </row>
    <row r="863" spans="7:7" x14ac:dyDescent="0.3">
      <c r="G863" s="10"/>
    </row>
    <row r="864" spans="7:7" x14ac:dyDescent="0.3">
      <c r="G864" s="10"/>
    </row>
    <row r="865" spans="7:7" x14ac:dyDescent="0.3">
      <c r="G865" s="10"/>
    </row>
    <row r="866" spans="7:7" x14ac:dyDescent="0.3">
      <c r="G866" s="10"/>
    </row>
    <row r="867" spans="7:7" x14ac:dyDescent="0.3">
      <c r="G867" s="10"/>
    </row>
    <row r="868" spans="7:7" x14ac:dyDescent="0.3">
      <c r="G868" s="10"/>
    </row>
    <row r="869" spans="7:7" x14ac:dyDescent="0.3">
      <c r="G869" s="10"/>
    </row>
    <row r="870" spans="7:7" x14ac:dyDescent="0.3">
      <c r="G870" s="10"/>
    </row>
    <row r="871" spans="7:7" x14ac:dyDescent="0.3">
      <c r="G871" s="10"/>
    </row>
    <row r="872" spans="7:7" x14ac:dyDescent="0.3">
      <c r="G872" s="10"/>
    </row>
    <row r="873" spans="7:7" x14ac:dyDescent="0.3">
      <c r="G873" s="10"/>
    </row>
    <row r="874" spans="7:7" x14ac:dyDescent="0.3">
      <c r="G874" s="10"/>
    </row>
    <row r="875" spans="7:7" x14ac:dyDescent="0.3">
      <c r="G875" s="10"/>
    </row>
    <row r="876" spans="7:7" x14ac:dyDescent="0.3">
      <c r="G876" s="10"/>
    </row>
    <row r="877" spans="7:7" x14ac:dyDescent="0.3">
      <c r="G877" s="10"/>
    </row>
    <row r="878" spans="7:7" x14ac:dyDescent="0.3">
      <c r="G878" s="10"/>
    </row>
    <row r="879" spans="7:7" x14ac:dyDescent="0.3">
      <c r="G879" s="10"/>
    </row>
    <row r="880" spans="7:7" x14ac:dyDescent="0.3">
      <c r="G880" s="10"/>
    </row>
    <row r="881" spans="7:7" x14ac:dyDescent="0.3">
      <c r="G881" s="10"/>
    </row>
    <row r="882" spans="7:7" x14ac:dyDescent="0.3">
      <c r="G882" s="10"/>
    </row>
    <row r="883" spans="7:7" x14ac:dyDescent="0.3">
      <c r="G883" s="10"/>
    </row>
    <row r="884" spans="7:7" x14ac:dyDescent="0.3">
      <c r="G884" s="10"/>
    </row>
    <row r="885" spans="7:7" x14ac:dyDescent="0.3">
      <c r="G885" s="10"/>
    </row>
    <row r="886" spans="7:7" x14ac:dyDescent="0.3">
      <c r="G886" s="10"/>
    </row>
    <row r="887" spans="7:7" x14ac:dyDescent="0.3">
      <c r="G887" s="10"/>
    </row>
    <row r="888" spans="7:7" x14ac:dyDescent="0.3">
      <c r="G888" s="10"/>
    </row>
    <row r="889" spans="7:7" x14ac:dyDescent="0.3">
      <c r="G889" s="10"/>
    </row>
    <row r="890" spans="7:7" x14ac:dyDescent="0.3">
      <c r="G890" s="10"/>
    </row>
    <row r="891" spans="7:7" x14ac:dyDescent="0.3">
      <c r="G891" s="10"/>
    </row>
    <row r="892" spans="7:7" x14ac:dyDescent="0.3">
      <c r="G892" s="10"/>
    </row>
    <row r="893" spans="7:7" x14ac:dyDescent="0.3">
      <c r="G893" s="10"/>
    </row>
    <row r="894" spans="7:7" x14ac:dyDescent="0.3">
      <c r="G894" s="10"/>
    </row>
    <row r="895" spans="7:7" x14ac:dyDescent="0.3">
      <c r="G895" s="10"/>
    </row>
    <row r="896" spans="7:7" x14ac:dyDescent="0.3">
      <c r="G896" s="10"/>
    </row>
    <row r="897" spans="7:7" x14ac:dyDescent="0.3">
      <c r="G897" s="10"/>
    </row>
    <row r="898" spans="7:7" x14ac:dyDescent="0.3">
      <c r="G898" s="10"/>
    </row>
    <row r="899" spans="7:7" x14ac:dyDescent="0.3">
      <c r="G899" s="10"/>
    </row>
    <row r="900" spans="7:7" x14ac:dyDescent="0.3">
      <c r="G900" s="10"/>
    </row>
    <row r="901" spans="7:7" x14ac:dyDescent="0.3">
      <c r="G901" s="10"/>
    </row>
    <row r="902" spans="7:7" x14ac:dyDescent="0.3">
      <c r="G902" s="10"/>
    </row>
    <row r="903" spans="7:7" x14ac:dyDescent="0.3">
      <c r="G903" s="10"/>
    </row>
    <row r="904" spans="7:7" x14ac:dyDescent="0.3">
      <c r="G904" s="10"/>
    </row>
    <row r="905" spans="7:7" x14ac:dyDescent="0.3">
      <c r="G905" s="10"/>
    </row>
    <row r="906" spans="7:7" x14ac:dyDescent="0.3">
      <c r="G906" s="10"/>
    </row>
    <row r="907" spans="7:7" x14ac:dyDescent="0.3">
      <c r="G907" s="10"/>
    </row>
    <row r="908" spans="7:7" x14ac:dyDescent="0.3">
      <c r="G908" s="10"/>
    </row>
    <row r="909" spans="7:7" x14ac:dyDescent="0.3">
      <c r="G909" s="10"/>
    </row>
    <row r="910" spans="7:7" x14ac:dyDescent="0.3">
      <c r="G910" s="10"/>
    </row>
    <row r="911" spans="7:7" x14ac:dyDescent="0.3">
      <c r="G911" s="10"/>
    </row>
    <row r="912" spans="7:7" x14ac:dyDescent="0.3">
      <c r="G912" s="10"/>
    </row>
    <row r="913" spans="7:7" x14ac:dyDescent="0.3">
      <c r="G913" s="10"/>
    </row>
    <row r="914" spans="7:7" x14ac:dyDescent="0.3">
      <c r="G914" s="10"/>
    </row>
    <row r="915" spans="7:7" x14ac:dyDescent="0.3">
      <c r="G915" s="10"/>
    </row>
    <row r="916" spans="7:7" x14ac:dyDescent="0.3">
      <c r="G916" s="10"/>
    </row>
    <row r="917" spans="7:7" x14ac:dyDescent="0.3">
      <c r="G917" s="10"/>
    </row>
    <row r="918" spans="7:7" x14ac:dyDescent="0.3">
      <c r="G918" s="10"/>
    </row>
    <row r="919" spans="7:7" x14ac:dyDescent="0.3">
      <c r="G919" s="10"/>
    </row>
    <row r="920" spans="7:7" x14ac:dyDescent="0.3">
      <c r="G920" s="10"/>
    </row>
    <row r="921" spans="7:7" x14ac:dyDescent="0.3">
      <c r="G921" s="10"/>
    </row>
    <row r="922" spans="7:7" x14ac:dyDescent="0.3">
      <c r="G922" s="10"/>
    </row>
    <row r="923" spans="7:7" x14ac:dyDescent="0.3">
      <c r="G923" s="10"/>
    </row>
    <row r="924" spans="7:7" x14ac:dyDescent="0.3">
      <c r="G924" s="10"/>
    </row>
    <row r="925" spans="7:7" x14ac:dyDescent="0.3">
      <c r="G925" s="10"/>
    </row>
    <row r="926" spans="7:7" x14ac:dyDescent="0.3">
      <c r="G926" s="10"/>
    </row>
    <row r="927" spans="7:7" x14ac:dyDescent="0.3">
      <c r="G927" s="10"/>
    </row>
    <row r="928" spans="7:7" x14ac:dyDescent="0.3">
      <c r="G928" s="10"/>
    </row>
    <row r="929" spans="7:7" x14ac:dyDescent="0.3">
      <c r="G929" s="10"/>
    </row>
    <row r="930" spans="7:7" x14ac:dyDescent="0.3">
      <c r="G930" s="10"/>
    </row>
    <row r="931" spans="7:7" x14ac:dyDescent="0.3">
      <c r="G931" s="10"/>
    </row>
    <row r="932" spans="7:7" x14ac:dyDescent="0.3">
      <c r="G932" s="10"/>
    </row>
    <row r="933" spans="7:7" x14ac:dyDescent="0.3">
      <c r="G933" s="10"/>
    </row>
    <row r="934" spans="7:7" x14ac:dyDescent="0.3">
      <c r="G934" s="10"/>
    </row>
    <row r="935" spans="7:7" x14ac:dyDescent="0.3">
      <c r="G935" s="10"/>
    </row>
    <row r="936" spans="7:7" x14ac:dyDescent="0.3">
      <c r="G936" s="10"/>
    </row>
    <row r="937" spans="7:7" x14ac:dyDescent="0.3">
      <c r="G937" s="10"/>
    </row>
    <row r="938" spans="7:7" x14ac:dyDescent="0.3">
      <c r="G938" s="10"/>
    </row>
    <row r="939" spans="7:7" x14ac:dyDescent="0.3">
      <c r="G939" s="10"/>
    </row>
    <row r="940" spans="7:7" x14ac:dyDescent="0.3">
      <c r="G940" s="10"/>
    </row>
    <row r="941" spans="7:7" x14ac:dyDescent="0.3">
      <c r="G941" s="10"/>
    </row>
    <row r="942" spans="7:7" x14ac:dyDescent="0.3">
      <c r="G942" s="10"/>
    </row>
    <row r="943" spans="7:7" x14ac:dyDescent="0.3">
      <c r="G943" s="10"/>
    </row>
    <row r="944" spans="7:7" x14ac:dyDescent="0.3">
      <c r="G944" s="10"/>
    </row>
    <row r="945" spans="7:7" x14ac:dyDescent="0.3">
      <c r="G945" s="10"/>
    </row>
    <row r="946" spans="7:7" x14ac:dyDescent="0.3">
      <c r="G946" s="10"/>
    </row>
    <row r="947" spans="7:7" x14ac:dyDescent="0.3">
      <c r="G947" s="10"/>
    </row>
    <row r="948" spans="7:7" x14ac:dyDescent="0.3">
      <c r="G948" s="10"/>
    </row>
    <row r="949" spans="7:7" x14ac:dyDescent="0.3">
      <c r="G949" s="10"/>
    </row>
    <row r="950" spans="7:7" x14ac:dyDescent="0.3">
      <c r="G950" s="10"/>
    </row>
    <row r="951" spans="7:7" x14ac:dyDescent="0.3">
      <c r="G951" s="10"/>
    </row>
    <row r="952" spans="7:7" x14ac:dyDescent="0.3">
      <c r="G952" s="10"/>
    </row>
    <row r="953" spans="7:7" x14ac:dyDescent="0.3">
      <c r="G953" s="10"/>
    </row>
    <row r="954" spans="7:7" x14ac:dyDescent="0.3">
      <c r="G954" s="10"/>
    </row>
    <row r="955" spans="7:7" x14ac:dyDescent="0.3">
      <c r="G955" s="10"/>
    </row>
    <row r="956" spans="7:7" x14ac:dyDescent="0.3">
      <c r="G956" s="10"/>
    </row>
    <row r="957" spans="7:7" x14ac:dyDescent="0.3">
      <c r="G957" s="10"/>
    </row>
    <row r="958" spans="7:7" x14ac:dyDescent="0.3">
      <c r="G958" s="10"/>
    </row>
    <row r="959" spans="7:7" x14ac:dyDescent="0.3">
      <c r="G959" s="10"/>
    </row>
    <row r="960" spans="7:7" x14ac:dyDescent="0.3">
      <c r="G960" s="10"/>
    </row>
    <row r="961" spans="7:7" x14ac:dyDescent="0.3">
      <c r="G961" s="10"/>
    </row>
    <row r="962" spans="7:7" x14ac:dyDescent="0.3">
      <c r="G962" s="10"/>
    </row>
    <row r="963" spans="7:7" x14ac:dyDescent="0.3">
      <c r="G963" s="10"/>
    </row>
    <row r="964" spans="7:7" x14ac:dyDescent="0.3">
      <c r="G964" s="10"/>
    </row>
    <row r="965" spans="7:7" x14ac:dyDescent="0.3">
      <c r="G965" s="10"/>
    </row>
    <row r="966" spans="7:7" x14ac:dyDescent="0.3">
      <c r="G966" s="10"/>
    </row>
    <row r="967" spans="7:7" x14ac:dyDescent="0.3">
      <c r="G967" s="10"/>
    </row>
    <row r="968" spans="7:7" x14ac:dyDescent="0.3">
      <c r="G968" s="10"/>
    </row>
    <row r="969" spans="7:7" x14ac:dyDescent="0.3">
      <c r="G969" s="10"/>
    </row>
    <row r="970" spans="7:7" x14ac:dyDescent="0.3">
      <c r="G970" s="10"/>
    </row>
    <row r="971" spans="7:7" x14ac:dyDescent="0.3">
      <c r="G971" s="10"/>
    </row>
    <row r="972" spans="7:7" x14ac:dyDescent="0.3">
      <c r="G972" s="10"/>
    </row>
    <row r="973" spans="7:7" x14ac:dyDescent="0.3">
      <c r="G973" s="10"/>
    </row>
    <row r="974" spans="7:7" x14ac:dyDescent="0.3">
      <c r="G974" s="10"/>
    </row>
    <row r="975" spans="7:7" x14ac:dyDescent="0.3">
      <c r="G975" s="10"/>
    </row>
    <row r="976" spans="7:7" x14ac:dyDescent="0.3">
      <c r="G976" s="10"/>
    </row>
    <row r="977" spans="7:7" x14ac:dyDescent="0.3">
      <c r="G977" s="10"/>
    </row>
    <row r="978" spans="7:7" x14ac:dyDescent="0.3">
      <c r="G978" s="10"/>
    </row>
    <row r="979" spans="7:7" x14ac:dyDescent="0.3">
      <c r="G979" s="10"/>
    </row>
    <row r="980" spans="7:7" x14ac:dyDescent="0.3">
      <c r="G980" s="10"/>
    </row>
    <row r="981" spans="7:7" x14ac:dyDescent="0.3">
      <c r="G981" s="10"/>
    </row>
    <row r="982" spans="7:7" x14ac:dyDescent="0.3">
      <c r="G982" s="10"/>
    </row>
    <row r="983" spans="7:7" x14ac:dyDescent="0.3">
      <c r="G983" s="10"/>
    </row>
    <row r="984" spans="7:7" x14ac:dyDescent="0.3">
      <c r="G984" s="10"/>
    </row>
    <row r="985" spans="7:7" x14ac:dyDescent="0.3">
      <c r="G985" s="10"/>
    </row>
    <row r="986" spans="7:7" x14ac:dyDescent="0.3">
      <c r="G986" s="10"/>
    </row>
    <row r="987" spans="7:7" x14ac:dyDescent="0.3">
      <c r="G987" s="10"/>
    </row>
    <row r="988" spans="7:7" x14ac:dyDescent="0.3">
      <c r="G988" s="10"/>
    </row>
    <row r="989" spans="7:7" x14ac:dyDescent="0.3">
      <c r="G989" s="10"/>
    </row>
    <row r="990" spans="7:7" x14ac:dyDescent="0.3">
      <c r="G990" s="10"/>
    </row>
    <row r="991" spans="7:7" x14ac:dyDescent="0.3">
      <c r="G991" s="10"/>
    </row>
    <row r="992" spans="7:7" x14ac:dyDescent="0.3">
      <c r="G992" s="10"/>
    </row>
    <row r="993" spans="7:7" x14ac:dyDescent="0.3">
      <c r="G993" s="10"/>
    </row>
    <row r="994" spans="7:7" x14ac:dyDescent="0.3">
      <c r="G994" s="10"/>
    </row>
    <row r="995" spans="7:7" x14ac:dyDescent="0.3">
      <c r="G995" s="10"/>
    </row>
    <row r="996" spans="7:7" x14ac:dyDescent="0.3">
      <c r="G996" s="10"/>
    </row>
    <row r="997" spans="7:7" x14ac:dyDescent="0.3">
      <c r="G997" s="10"/>
    </row>
    <row r="998" spans="7:7" x14ac:dyDescent="0.3">
      <c r="G998" s="10"/>
    </row>
    <row r="999" spans="7:7" x14ac:dyDescent="0.3">
      <c r="G999" s="10"/>
    </row>
    <row r="1000" spans="7:7" x14ac:dyDescent="0.3">
      <c r="G1000" s="10"/>
    </row>
    <row r="1001" spans="7:7" x14ac:dyDescent="0.3">
      <c r="G1001" s="10"/>
    </row>
    <row r="1002" spans="7:7" x14ac:dyDescent="0.3">
      <c r="G1002" s="10"/>
    </row>
    <row r="1003" spans="7:7" x14ac:dyDescent="0.3">
      <c r="G1003" s="10"/>
    </row>
    <row r="1004" spans="7:7" x14ac:dyDescent="0.3">
      <c r="G1004" s="10"/>
    </row>
    <row r="1005" spans="7:7" x14ac:dyDescent="0.3">
      <c r="G1005" s="10"/>
    </row>
    <row r="1006" spans="7:7" x14ac:dyDescent="0.3">
      <c r="G1006" s="10"/>
    </row>
    <row r="1007" spans="7:7" x14ac:dyDescent="0.3">
      <c r="G1007" s="10"/>
    </row>
    <row r="1008" spans="7:7" x14ac:dyDescent="0.3">
      <c r="G1008" s="10"/>
    </row>
    <row r="1009" spans="7:7" x14ac:dyDescent="0.3">
      <c r="G1009" s="10"/>
    </row>
    <row r="1010" spans="7:7" x14ac:dyDescent="0.3">
      <c r="G1010" s="10"/>
    </row>
    <row r="1011" spans="7:7" x14ac:dyDescent="0.3">
      <c r="G1011" s="10"/>
    </row>
    <row r="1012" spans="7:7" x14ac:dyDescent="0.3">
      <c r="G1012" s="10"/>
    </row>
    <row r="1013" spans="7:7" x14ac:dyDescent="0.3">
      <c r="G1013" s="10"/>
    </row>
    <row r="1014" spans="7:7" x14ac:dyDescent="0.3">
      <c r="G1014" s="10"/>
    </row>
    <row r="1015" spans="7:7" x14ac:dyDescent="0.3">
      <c r="G1015" s="10"/>
    </row>
    <row r="1016" spans="7:7" x14ac:dyDescent="0.3">
      <c r="G1016" s="10"/>
    </row>
    <row r="1017" spans="7:7" x14ac:dyDescent="0.3">
      <c r="G1017" s="10"/>
    </row>
    <row r="1018" spans="7:7" x14ac:dyDescent="0.3">
      <c r="G1018" s="10"/>
    </row>
    <row r="1019" spans="7:7" x14ac:dyDescent="0.3">
      <c r="G1019" s="10"/>
    </row>
    <row r="1020" spans="7:7" x14ac:dyDescent="0.3">
      <c r="G1020" s="10"/>
    </row>
    <row r="1021" spans="7:7" x14ac:dyDescent="0.3">
      <c r="G1021" s="10"/>
    </row>
    <row r="1022" spans="7:7" x14ac:dyDescent="0.3">
      <c r="G1022" s="10"/>
    </row>
    <row r="1023" spans="7:7" x14ac:dyDescent="0.3">
      <c r="G1023" s="10"/>
    </row>
    <row r="1024" spans="7:7" x14ac:dyDescent="0.3">
      <c r="G1024" s="10"/>
    </row>
    <row r="1025" spans="7:7" x14ac:dyDescent="0.3">
      <c r="G1025" s="10"/>
    </row>
    <row r="1026" spans="7:7" x14ac:dyDescent="0.3">
      <c r="G1026" s="10"/>
    </row>
    <row r="1027" spans="7:7" x14ac:dyDescent="0.3">
      <c r="G1027" s="10"/>
    </row>
    <row r="1028" spans="7:7" x14ac:dyDescent="0.3">
      <c r="G1028" s="10"/>
    </row>
    <row r="1029" spans="7:7" x14ac:dyDescent="0.3">
      <c r="G1029" s="10"/>
    </row>
    <row r="1030" spans="7:7" x14ac:dyDescent="0.3">
      <c r="G1030" s="10"/>
    </row>
    <row r="1031" spans="7:7" x14ac:dyDescent="0.3">
      <c r="G1031" s="10"/>
    </row>
    <row r="1032" spans="7:7" x14ac:dyDescent="0.3">
      <c r="G1032" s="10"/>
    </row>
    <row r="1033" spans="7:7" x14ac:dyDescent="0.3">
      <c r="G1033" s="10"/>
    </row>
    <row r="1034" spans="7:7" x14ac:dyDescent="0.3">
      <c r="G1034" s="10"/>
    </row>
    <row r="1035" spans="7:7" x14ac:dyDescent="0.3">
      <c r="G1035" s="10"/>
    </row>
    <row r="1036" spans="7:7" x14ac:dyDescent="0.3">
      <c r="G1036" s="10"/>
    </row>
    <row r="1037" spans="7:7" x14ac:dyDescent="0.3">
      <c r="G1037" s="10"/>
    </row>
    <row r="1038" spans="7:7" x14ac:dyDescent="0.3">
      <c r="G1038" s="10"/>
    </row>
    <row r="1039" spans="7:7" x14ac:dyDescent="0.3">
      <c r="G1039" s="10"/>
    </row>
    <row r="1040" spans="7:7" x14ac:dyDescent="0.3">
      <c r="G1040" s="10"/>
    </row>
    <row r="1041" spans="7:7" x14ac:dyDescent="0.3">
      <c r="G1041" s="10"/>
    </row>
    <row r="1042" spans="7:7" x14ac:dyDescent="0.3">
      <c r="G1042" s="10"/>
    </row>
    <row r="1043" spans="7:7" x14ac:dyDescent="0.3">
      <c r="G1043" s="10"/>
    </row>
    <row r="1044" spans="7:7" x14ac:dyDescent="0.3">
      <c r="G1044" s="10"/>
    </row>
    <row r="1045" spans="7:7" x14ac:dyDescent="0.3">
      <c r="G1045" s="10"/>
    </row>
    <row r="1046" spans="7:7" x14ac:dyDescent="0.3">
      <c r="G1046" s="10"/>
    </row>
    <row r="1047" spans="7:7" x14ac:dyDescent="0.3">
      <c r="G1047" s="10"/>
    </row>
    <row r="1048" spans="7:7" x14ac:dyDescent="0.3">
      <c r="G1048" s="10"/>
    </row>
    <row r="1049" spans="7:7" x14ac:dyDescent="0.3">
      <c r="G1049" s="10"/>
    </row>
    <row r="1050" spans="7:7" x14ac:dyDescent="0.3">
      <c r="G1050" s="10"/>
    </row>
    <row r="1051" spans="7:7" x14ac:dyDescent="0.3">
      <c r="G1051" s="10"/>
    </row>
    <row r="1052" spans="7:7" x14ac:dyDescent="0.3">
      <c r="G1052" s="10"/>
    </row>
    <row r="1053" spans="7:7" x14ac:dyDescent="0.3">
      <c r="G1053" s="10"/>
    </row>
    <row r="1054" spans="7:7" x14ac:dyDescent="0.3">
      <c r="G1054" s="10"/>
    </row>
    <row r="1055" spans="7:7" x14ac:dyDescent="0.3">
      <c r="G1055" s="10"/>
    </row>
    <row r="1056" spans="7:7" x14ac:dyDescent="0.3">
      <c r="G1056" s="10"/>
    </row>
    <row r="1057" spans="7:7" x14ac:dyDescent="0.3">
      <c r="G1057" s="10"/>
    </row>
    <row r="1058" spans="7:7" x14ac:dyDescent="0.3">
      <c r="G1058" s="10"/>
    </row>
    <row r="1059" spans="7:7" x14ac:dyDescent="0.3">
      <c r="G1059" s="10"/>
    </row>
    <row r="1060" spans="7:7" x14ac:dyDescent="0.3">
      <c r="G1060" s="10"/>
    </row>
    <row r="1061" spans="7:7" x14ac:dyDescent="0.3">
      <c r="G1061" s="10"/>
    </row>
    <row r="1062" spans="7:7" x14ac:dyDescent="0.3">
      <c r="G1062" s="10"/>
    </row>
    <row r="1063" spans="7:7" x14ac:dyDescent="0.3">
      <c r="G1063" s="10"/>
    </row>
    <row r="1064" spans="7:7" x14ac:dyDescent="0.3">
      <c r="G1064" s="10"/>
    </row>
    <row r="1065" spans="7:7" x14ac:dyDescent="0.3">
      <c r="G1065" s="10"/>
    </row>
    <row r="1066" spans="7:7" x14ac:dyDescent="0.3">
      <c r="G1066" s="10"/>
    </row>
    <row r="1067" spans="7:7" x14ac:dyDescent="0.3">
      <c r="G1067" s="10"/>
    </row>
    <row r="1068" spans="7:7" x14ac:dyDescent="0.3">
      <c r="G1068" s="10"/>
    </row>
    <row r="1069" spans="7:7" x14ac:dyDescent="0.3">
      <c r="G1069" s="10"/>
    </row>
    <row r="1070" spans="7:7" x14ac:dyDescent="0.3">
      <c r="G1070" s="10"/>
    </row>
    <row r="1071" spans="7:7" x14ac:dyDescent="0.3">
      <c r="G1071" s="10"/>
    </row>
    <row r="1072" spans="7:7" x14ac:dyDescent="0.3">
      <c r="G1072" s="10"/>
    </row>
    <row r="1073" spans="7:7" x14ac:dyDescent="0.3">
      <c r="G1073" s="10"/>
    </row>
    <row r="1074" spans="7:7" x14ac:dyDescent="0.3">
      <c r="G1074" s="10"/>
    </row>
    <row r="1075" spans="7:7" x14ac:dyDescent="0.3">
      <c r="G1075" s="10"/>
    </row>
    <row r="1076" spans="7:7" x14ac:dyDescent="0.3">
      <c r="G1076" s="10"/>
    </row>
    <row r="1077" spans="7:7" x14ac:dyDescent="0.3">
      <c r="G1077" s="10"/>
    </row>
    <row r="1078" spans="7:7" x14ac:dyDescent="0.3">
      <c r="G1078" s="10"/>
    </row>
    <row r="1079" spans="7:7" x14ac:dyDescent="0.3">
      <c r="G1079" s="10"/>
    </row>
    <row r="1080" spans="7:7" x14ac:dyDescent="0.3">
      <c r="G1080" s="10"/>
    </row>
    <row r="1081" spans="7:7" x14ac:dyDescent="0.3">
      <c r="G1081" s="10"/>
    </row>
    <row r="1082" spans="7:7" x14ac:dyDescent="0.3">
      <c r="G1082" s="10"/>
    </row>
    <row r="1083" spans="7:7" x14ac:dyDescent="0.3">
      <c r="G1083" s="10"/>
    </row>
    <row r="1084" spans="7:7" x14ac:dyDescent="0.3">
      <c r="G1084" s="10"/>
    </row>
    <row r="1085" spans="7:7" x14ac:dyDescent="0.3">
      <c r="G1085" s="10"/>
    </row>
    <row r="1086" spans="7:7" x14ac:dyDescent="0.3">
      <c r="G1086" s="10"/>
    </row>
    <row r="1087" spans="7:7" x14ac:dyDescent="0.3">
      <c r="G1087" s="10"/>
    </row>
    <row r="1088" spans="7:7" x14ac:dyDescent="0.3">
      <c r="G1088" s="10"/>
    </row>
    <row r="1089" spans="7:7" x14ac:dyDescent="0.3">
      <c r="G1089" s="10"/>
    </row>
    <row r="1090" spans="7:7" x14ac:dyDescent="0.3">
      <c r="G1090" s="10"/>
    </row>
    <row r="1091" spans="7:7" x14ac:dyDescent="0.3">
      <c r="G1091" s="10"/>
    </row>
    <row r="1092" spans="7:7" x14ac:dyDescent="0.3">
      <c r="G1092" s="10"/>
    </row>
    <row r="1093" spans="7:7" x14ac:dyDescent="0.3">
      <c r="G1093" s="10"/>
    </row>
    <row r="1094" spans="7:7" x14ac:dyDescent="0.3">
      <c r="G1094" s="10"/>
    </row>
    <row r="1095" spans="7:7" x14ac:dyDescent="0.3">
      <c r="G1095" s="10"/>
    </row>
    <row r="1096" spans="7:7" x14ac:dyDescent="0.3">
      <c r="G1096" s="10"/>
    </row>
    <row r="1097" spans="7:7" x14ac:dyDescent="0.3">
      <c r="G1097" s="10"/>
    </row>
    <row r="1098" spans="7:7" x14ac:dyDescent="0.3">
      <c r="G1098" s="10"/>
    </row>
    <row r="1099" spans="7:7" x14ac:dyDescent="0.3">
      <c r="G1099" s="10"/>
    </row>
    <row r="1100" spans="7:7" x14ac:dyDescent="0.3">
      <c r="G1100" s="10"/>
    </row>
    <row r="1101" spans="7:7" x14ac:dyDescent="0.3">
      <c r="G1101" s="10"/>
    </row>
    <row r="1102" spans="7:7" x14ac:dyDescent="0.3">
      <c r="G1102" s="10"/>
    </row>
    <row r="1103" spans="7:7" x14ac:dyDescent="0.3">
      <c r="G1103" s="10"/>
    </row>
    <row r="1104" spans="7:7" x14ac:dyDescent="0.3">
      <c r="G1104" s="10"/>
    </row>
    <row r="1105" spans="7:7" x14ac:dyDescent="0.3">
      <c r="G1105" s="10"/>
    </row>
    <row r="1106" spans="7:7" x14ac:dyDescent="0.3">
      <c r="G1106" s="10"/>
    </row>
    <row r="1107" spans="7:7" x14ac:dyDescent="0.3">
      <c r="G1107" s="10"/>
    </row>
    <row r="1108" spans="7:7" x14ac:dyDescent="0.3">
      <c r="G1108" s="10"/>
    </row>
    <row r="1109" spans="7:7" x14ac:dyDescent="0.3">
      <c r="G1109" s="10"/>
    </row>
    <row r="1110" spans="7:7" x14ac:dyDescent="0.3">
      <c r="G1110" s="10"/>
    </row>
    <row r="1111" spans="7:7" x14ac:dyDescent="0.3">
      <c r="G1111" s="10"/>
    </row>
    <row r="1112" spans="7:7" x14ac:dyDescent="0.3">
      <c r="G1112" s="10"/>
    </row>
    <row r="1113" spans="7:7" x14ac:dyDescent="0.3">
      <c r="G1113" s="10"/>
    </row>
    <row r="1114" spans="7:7" x14ac:dyDescent="0.3">
      <c r="G1114" s="10"/>
    </row>
    <row r="1115" spans="7:7" x14ac:dyDescent="0.3">
      <c r="G1115" s="10"/>
    </row>
    <row r="1116" spans="7:7" x14ac:dyDescent="0.3">
      <c r="G1116" s="10"/>
    </row>
    <row r="1117" spans="7:7" x14ac:dyDescent="0.3">
      <c r="G1117" s="10"/>
    </row>
    <row r="1118" spans="7:7" x14ac:dyDescent="0.3">
      <c r="G1118" s="10"/>
    </row>
    <row r="1119" spans="7:7" x14ac:dyDescent="0.3">
      <c r="G1119" s="10"/>
    </row>
    <row r="1120" spans="7:7" x14ac:dyDescent="0.3">
      <c r="G1120" s="10"/>
    </row>
    <row r="1121" spans="7:7" x14ac:dyDescent="0.3">
      <c r="G1121" s="10"/>
    </row>
    <row r="1122" spans="7:7" x14ac:dyDescent="0.3">
      <c r="G1122" s="10"/>
    </row>
    <row r="1123" spans="7:7" x14ac:dyDescent="0.3">
      <c r="G1123" s="10"/>
    </row>
    <row r="1124" spans="7:7" x14ac:dyDescent="0.3">
      <c r="G1124" s="10"/>
    </row>
    <row r="1125" spans="7:7" x14ac:dyDescent="0.3">
      <c r="G1125" s="10"/>
    </row>
    <row r="1126" spans="7:7" x14ac:dyDescent="0.3">
      <c r="G1126" s="10"/>
    </row>
    <row r="1127" spans="7:7" x14ac:dyDescent="0.3">
      <c r="G1127" s="10"/>
    </row>
    <row r="1128" spans="7:7" x14ac:dyDescent="0.3">
      <c r="G1128" s="10"/>
    </row>
    <row r="1129" spans="7:7" x14ac:dyDescent="0.3">
      <c r="G1129" s="10"/>
    </row>
    <row r="1130" spans="7:7" x14ac:dyDescent="0.3">
      <c r="G1130" s="10"/>
    </row>
    <row r="1131" spans="7:7" x14ac:dyDescent="0.3">
      <c r="G1131" s="10"/>
    </row>
    <row r="1132" spans="7:7" x14ac:dyDescent="0.3">
      <c r="G1132" s="10"/>
    </row>
    <row r="1133" spans="7:7" x14ac:dyDescent="0.3">
      <c r="G1133" s="10"/>
    </row>
    <row r="1134" spans="7:7" x14ac:dyDescent="0.3">
      <c r="G1134" s="10"/>
    </row>
    <row r="1135" spans="7:7" x14ac:dyDescent="0.3">
      <c r="G1135" s="10"/>
    </row>
    <row r="1136" spans="7:7" x14ac:dyDescent="0.3">
      <c r="G1136" s="10"/>
    </row>
    <row r="1137" spans="7:7" x14ac:dyDescent="0.3">
      <c r="G1137" s="10"/>
    </row>
    <row r="1138" spans="7:7" x14ac:dyDescent="0.3">
      <c r="G1138" s="10"/>
    </row>
    <row r="1139" spans="7:7" x14ac:dyDescent="0.3">
      <c r="G1139" s="10"/>
    </row>
    <row r="1140" spans="7:7" x14ac:dyDescent="0.3">
      <c r="G1140" s="10"/>
    </row>
    <row r="1141" spans="7:7" x14ac:dyDescent="0.3">
      <c r="G1141" s="10"/>
    </row>
    <row r="1142" spans="7:7" x14ac:dyDescent="0.3">
      <c r="G1142" s="10"/>
    </row>
    <row r="1143" spans="7:7" x14ac:dyDescent="0.3">
      <c r="G1143" s="10"/>
    </row>
    <row r="1144" spans="7:7" x14ac:dyDescent="0.3">
      <c r="G1144" s="10"/>
    </row>
    <row r="1145" spans="7:7" x14ac:dyDescent="0.3">
      <c r="G1145" s="10"/>
    </row>
    <row r="1146" spans="7:7" x14ac:dyDescent="0.3">
      <c r="G1146" s="10"/>
    </row>
    <row r="1147" spans="7:7" x14ac:dyDescent="0.3">
      <c r="G1147" s="10"/>
    </row>
    <row r="1148" spans="7:7" x14ac:dyDescent="0.3">
      <c r="G1148" s="10"/>
    </row>
    <row r="1149" spans="7:7" x14ac:dyDescent="0.3">
      <c r="G1149" s="10"/>
    </row>
    <row r="1150" spans="7:7" x14ac:dyDescent="0.3">
      <c r="G1150" s="10"/>
    </row>
    <row r="1151" spans="7:7" x14ac:dyDescent="0.3">
      <c r="G1151" s="10"/>
    </row>
    <row r="1152" spans="7:7" x14ac:dyDescent="0.3">
      <c r="G1152" s="10"/>
    </row>
    <row r="1153" spans="7:7" x14ac:dyDescent="0.3">
      <c r="G1153" s="10"/>
    </row>
    <row r="1154" spans="7:7" x14ac:dyDescent="0.3">
      <c r="G1154" s="10"/>
    </row>
    <row r="1155" spans="7:7" x14ac:dyDescent="0.3">
      <c r="G1155" s="10"/>
    </row>
    <row r="1156" spans="7:7" x14ac:dyDescent="0.3">
      <c r="G1156" s="10"/>
    </row>
    <row r="1157" spans="7:7" x14ac:dyDescent="0.3">
      <c r="G1157" s="10"/>
    </row>
    <row r="1158" spans="7:7" x14ac:dyDescent="0.3">
      <c r="G1158" s="10"/>
    </row>
    <row r="1159" spans="7:7" x14ac:dyDescent="0.3">
      <c r="G1159" s="10"/>
    </row>
    <row r="1160" spans="7:7" x14ac:dyDescent="0.3">
      <c r="G1160" s="10"/>
    </row>
    <row r="1161" spans="7:7" x14ac:dyDescent="0.3">
      <c r="G1161" s="10"/>
    </row>
    <row r="1162" spans="7:7" x14ac:dyDescent="0.3">
      <c r="G1162" s="10"/>
    </row>
    <row r="1163" spans="7:7" x14ac:dyDescent="0.3">
      <c r="G1163" s="10"/>
    </row>
    <row r="1164" spans="7:7" x14ac:dyDescent="0.3">
      <c r="G1164" s="10"/>
    </row>
    <row r="1165" spans="7:7" x14ac:dyDescent="0.3">
      <c r="G1165" s="10"/>
    </row>
    <row r="1166" spans="7:7" x14ac:dyDescent="0.3">
      <c r="G1166" s="10"/>
    </row>
    <row r="1167" spans="7:7" x14ac:dyDescent="0.3">
      <c r="G1167" s="10"/>
    </row>
    <row r="1168" spans="7:7" x14ac:dyDescent="0.3">
      <c r="G1168" s="10"/>
    </row>
    <row r="1169" spans="7:7" x14ac:dyDescent="0.3">
      <c r="G1169" s="10"/>
    </row>
    <row r="1170" spans="7:7" x14ac:dyDescent="0.3">
      <c r="G1170" s="10"/>
    </row>
    <row r="1171" spans="7:7" x14ac:dyDescent="0.3">
      <c r="G1171" s="10"/>
    </row>
    <row r="1172" spans="7:7" x14ac:dyDescent="0.3">
      <c r="G1172" s="10"/>
    </row>
    <row r="1173" spans="7:7" x14ac:dyDescent="0.3">
      <c r="G1173" s="10"/>
    </row>
    <row r="1174" spans="7:7" x14ac:dyDescent="0.3">
      <c r="G1174" s="10"/>
    </row>
    <row r="1175" spans="7:7" x14ac:dyDescent="0.3">
      <c r="G1175" s="10"/>
    </row>
    <row r="1176" spans="7:7" x14ac:dyDescent="0.3">
      <c r="G1176" s="10"/>
    </row>
    <row r="1177" spans="7:7" x14ac:dyDescent="0.3">
      <c r="G1177" s="10"/>
    </row>
    <row r="1178" spans="7:7" x14ac:dyDescent="0.3">
      <c r="G1178" s="10"/>
    </row>
    <row r="1179" spans="7:7" x14ac:dyDescent="0.3">
      <c r="G1179" s="10"/>
    </row>
    <row r="1180" spans="7:7" x14ac:dyDescent="0.3">
      <c r="G1180" s="10"/>
    </row>
    <row r="1181" spans="7:7" x14ac:dyDescent="0.3">
      <c r="G1181" s="10"/>
    </row>
    <row r="1182" spans="7:7" x14ac:dyDescent="0.3">
      <c r="G1182" s="10"/>
    </row>
    <row r="1183" spans="7:7" x14ac:dyDescent="0.3">
      <c r="G1183" s="10"/>
    </row>
    <row r="1184" spans="7:7" x14ac:dyDescent="0.3">
      <c r="G1184" s="10"/>
    </row>
    <row r="1185" spans="7:7" x14ac:dyDescent="0.3">
      <c r="G1185" s="10"/>
    </row>
    <row r="1186" spans="7:7" x14ac:dyDescent="0.3">
      <c r="G1186" s="10"/>
    </row>
    <row r="1187" spans="7:7" x14ac:dyDescent="0.3">
      <c r="G1187" s="10"/>
    </row>
    <row r="1188" spans="7:7" x14ac:dyDescent="0.3">
      <c r="G1188" s="10"/>
    </row>
    <row r="1189" spans="7:7" x14ac:dyDescent="0.3">
      <c r="G1189" s="10"/>
    </row>
    <row r="1190" spans="7:7" x14ac:dyDescent="0.3">
      <c r="G1190" s="10"/>
    </row>
    <row r="1191" spans="7:7" x14ac:dyDescent="0.3">
      <c r="G1191" s="10"/>
    </row>
    <row r="1192" spans="7:7" x14ac:dyDescent="0.3">
      <c r="G1192" s="10"/>
    </row>
    <row r="1193" spans="7:7" x14ac:dyDescent="0.3">
      <c r="G1193" s="10"/>
    </row>
  </sheetData>
  <conditionalFormatting sqref="H5:H497">
    <cfRule type="dataBar" priority="1">
      <dataBar>
        <cfvo type="min"/>
        <cfvo type="max"/>
        <color theme="9"/>
      </dataBar>
      <extLst>
        <ext xmlns:x14="http://schemas.microsoft.com/office/spreadsheetml/2009/9/main" uri="{B025F937-C7B1-47D3-B67F-A62EFF666E3E}">
          <x14:id>{2B46D37C-43C5-4A84-960D-19A0ED467C67}</x14:id>
        </ext>
      </extLst>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2B46D37C-43C5-4A84-960D-19A0ED467C67}">
            <x14:dataBar minLength="0" maxLength="100" gradient="0">
              <x14:cfvo type="autoMin"/>
              <x14:cfvo type="max"/>
              <x14:negativeFillColor rgb="FFFF0000"/>
              <x14:axisColor rgb="FF000000"/>
            </x14:dataBar>
          </x14:cfRule>
          <xm:sqref>H5:H497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3D3AC-4339-4443-A637-2F322C298591}">
  <sheetPr codeName="Sheet4"/>
  <dimension ref="B2:J49"/>
  <sheetViews>
    <sheetView showGridLines="0" zoomScale="80" zoomScaleNormal="80" workbookViewId="0">
      <pane ySplit="2" topLeftCell="A3" activePane="bottomLeft" state="frozenSplit"/>
      <selection activeCell="I13" sqref="I13"/>
      <selection pane="bottomLeft" activeCell="I49" sqref="I49"/>
    </sheetView>
  </sheetViews>
  <sheetFormatPr defaultColWidth="9.23046875" defaultRowHeight="18.75" x14ac:dyDescent="0.3"/>
  <cols>
    <col min="1" max="1" width="1.3046875" style="1" customWidth="1"/>
    <col min="2" max="2" width="9.23046875" style="1"/>
    <col min="3" max="4" width="21.69140625" style="1" customWidth="1"/>
    <col min="5" max="5" width="7.53515625" style="1" bestFit="1" customWidth="1"/>
    <col min="6" max="6" width="21.69140625" style="1" customWidth="1"/>
    <col min="7" max="7" width="65.69140625" style="1" bestFit="1" customWidth="1"/>
    <col min="8" max="8" width="8.921875" style="1" bestFit="1" customWidth="1"/>
    <col min="9" max="16384" width="9.23046875" style="1"/>
  </cols>
  <sheetData>
    <row r="2" spans="2:10" ht="20.25" thickBot="1" x14ac:dyDescent="0.35">
      <c r="B2" s="11" t="s">
        <v>10</v>
      </c>
      <c r="C2" s="11"/>
      <c r="D2" s="11"/>
      <c r="E2" s="11"/>
      <c r="F2" s="11"/>
      <c r="G2" s="11"/>
      <c r="H2" s="11"/>
      <c r="I2" s="11"/>
    </row>
    <row r="3" spans="2:10" ht="19.5" thickTop="1" x14ac:dyDescent="0.3"/>
    <row r="4" spans="2:10" x14ac:dyDescent="0.3">
      <c r="B4" s="5" t="s">
        <v>19</v>
      </c>
      <c r="C4" s="5" t="s">
        <v>20</v>
      </c>
      <c r="D4" s="5" t="s">
        <v>14</v>
      </c>
      <c r="E4" s="5" t="s">
        <v>21</v>
      </c>
      <c r="F4" s="5" t="s">
        <v>15</v>
      </c>
      <c r="G4" s="5" t="s">
        <v>16</v>
      </c>
      <c r="H4" s="5" t="s">
        <v>17</v>
      </c>
      <c r="J4" s="5" t="s">
        <v>870</v>
      </c>
    </row>
    <row r="5" spans="2:10" x14ac:dyDescent="0.3">
      <c r="B5" s="1" cm="1">
        <f t="array" ref="B5:B49">_xlfn.SEQUENCE(COUNTA(_xlfn._TRO_ALL(C:C))-1)</f>
        <v>1</v>
      </c>
      <c r="C5" s="1" t="s">
        <v>22</v>
      </c>
      <c r="D5" s="1" t="s">
        <v>23</v>
      </c>
      <c r="F5" s="1" t="s">
        <v>24</v>
      </c>
      <c r="G5" s="1" t="s">
        <v>25</v>
      </c>
      <c r="H5" s="12" t="b">
        <v>1</v>
      </c>
    </row>
    <row r="6" spans="2:10" x14ac:dyDescent="0.3">
      <c r="B6" s="1">
        <v>2</v>
      </c>
      <c r="C6" s="1" t="s">
        <v>26</v>
      </c>
      <c r="D6" s="1" t="s">
        <v>27</v>
      </c>
      <c r="F6" s="1" t="s">
        <v>24</v>
      </c>
      <c r="G6" s="1" t="s">
        <v>28</v>
      </c>
      <c r="H6" s="12" t="b">
        <v>0</v>
      </c>
    </row>
    <row r="7" spans="2:10" x14ac:dyDescent="0.3">
      <c r="B7" s="1">
        <v>3</v>
      </c>
      <c r="C7" s="1" t="s">
        <v>29</v>
      </c>
      <c r="F7" s="1" t="s">
        <v>24</v>
      </c>
      <c r="G7" s="1" t="s">
        <v>30</v>
      </c>
      <c r="H7" s="12" t="b">
        <v>1</v>
      </c>
    </row>
    <row r="8" spans="2:10" x14ac:dyDescent="0.3">
      <c r="B8" s="1">
        <v>4</v>
      </c>
      <c r="C8" s="1" t="s">
        <v>31</v>
      </c>
      <c r="D8" s="1" t="s">
        <v>32</v>
      </c>
      <c r="F8" s="1" t="s">
        <v>33</v>
      </c>
      <c r="G8" s="1" t="s">
        <v>34</v>
      </c>
      <c r="H8" s="12" t="b">
        <v>0</v>
      </c>
    </row>
    <row r="9" spans="2:10" x14ac:dyDescent="0.3">
      <c r="B9" s="1">
        <v>5</v>
      </c>
      <c r="C9" s="1" t="s">
        <v>35</v>
      </c>
      <c r="D9" s="1" t="s">
        <v>36</v>
      </c>
      <c r="F9" s="1" t="s">
        <v>24</v>
      </c>
      <c r="G9" s="1" t="s">
        <v>37</v>
      </c>
      <c r="H9" s="12" t="b">
        <v>0</v>
      </c>
    </row>
    <row r="10" spans="2:10" x14ac:dyDescent="0.3">
      <c r="B10" s="1">
        <v>6</v>
      </c>
      <c r="C10" s="1" t="s">
        <v>38</v>
      </c>
      <c r="F10" s="1" t="s">
        <v>24</v>
      </c>
      <c r="G10" s="1" t="s">
        <v>39</v>
      </c>
      <c r="H10" s="12" t="b">
        <v>0</v>
      </c>
    </row>
    <row r="11" spans="2:10" x14ac:dyDescent="0.3">
      <c r="B11" s="1">
        <v>7</v>
      </c>
      <c r="C11" s="1" t="s">
        <v>38</v>
      </c>
      <c r="F11" s="1" t="s">
        <v>24</v>
      </c>
      <c r="G11" s="1" t="s">
        <v>39</v>
      </c>
      <c r="H11" s="12" t="b">
        <v>0</v>
      </c>
    </row>
    <row r="12" spans="2:10" x14ac:dyDescent="0.3">
      <c r="B12" s="1">
        <v>8</v>
      </c>
      <c r="C12" s="1" t="s">
        <v>38</v>
      </c>
      <c r="F12" s="1" t="s">
        <v>24</v>
      </c>
      <c r="G12" s="1" t="s">
        <v>39</v>
      </c>
      <c r="H12" s="12" t="b">
        <v>0</v>
      </c>
    </row>
    <row r="13" spans="2:10" x14ac:dyDescent="0.3">
      <c r="B13" s="1">
        <v>9</v>
      </c>
      <c r="C13" s="1" t="s">
        <v>40</v>
      </c>
      <c r="D13" s="1" t="s">
        <v>41</v>
      </c>
      <c r="F13" s="1" t="s">
        <v>24</v>
      </c>
      <c r="G13" s="1" t="s">
        <v>42</v>
      </c>
      <c r="H13" s="12" t="b">
        <v>0</v>
      </c>
    </row>
    <row r="14" spans="2:10" x14ac:dyDescent="0.3">
      <c r="B14" s="1">
        <v>10</v>
      </c>
      <c r="C14" s="1" t="s">
        <v>43</v>
      </c>
      <c r="F14" s="1" t="s">
        <v>24</v>
      </c>
      <c r="G14" s="1" t="s">
        <v>44</v>
      </c>
      <c r="H14" s="12" t="b">
        <v>1</v>
      </c>
    </row>
    <row r="15" spans="2:10" x14ac:dyDescent="0.3">
      <c r="B15" s="1">
        <v>11</v>
      </c>
      <c r="C15" s="1" t="s">
        <v>45</v>
      </c>
      <c r="D15" s="1" t="s">
        <v>46</v>
      </c>
      <c r="F15" s="1" t="s">
        <v>24</v>
      </c>
      <c r="G15" s="1" t="s">
        <v>47</v>
      </c>
      <c r="H15" s="12" t="b">
        <v>0</v>
      </c>
    </row>
    <row r="16" spans="2:10" x14ac:dyDescent="0.3">
      <c r="B16" s="1">
        <v>12</v>
      </c>
      <c r="C16" s="1" t="s">
        <v>48</v>
      </c>
      <c r="D16" s="1" t="s">
        <v>49</v>
      </c>
      <c r="F16" s="1" t="s">
        <v>33</v>
      </c>
      <c r="G16" s="1" t="s">
        <v>50</v>
      </c>
      <c r="H16" s="12" t="b">
        <v>0</v>
      </c>
    </row>
    <row r="17" spans="2:8" x14ac:dyDescent="0.3">
      <c r="B17" s="1">
        <v>13</v>
      </c>
      <c r="C17" s="1" t="s">
        <v>38</v>
      </c>
      <c r="F17" s="1" t="s">
        <v>24</v>
      </c>
      <c r="G17" s="1" t="s">
        <v>39</v>
      </c>
      <c r="H17" s="12" t="b">
        <v>0</v>
      </c>
    </row>
    <row r="18" spans="2:8" x14ac:dyDescent="0.3">
      <c r="B18" s="1">
        <v>14</v>
      </c>
      <c r="C18" s="1" t="s">
        <v>51</v>
      </c>
      <c r="F18" s="1" t="s">
        <v>24</v>
      </c>
      <c r="G18" s="1" t="s">
        <v>52</v>
      </c>
      <c r="H18" s="12" t="b">
        <v>1</v>
      </c>
    </row>
    <row r="19" spans="2:8" x14ac:dyDescent="0.3">
      <c r="B19" s="1">
        <v>15</v>
      </c>
      <c r="C19" s="1" t="s">
        <v>31</v>
      </c>
      <c r="D19" s="1" t="s">
        <v>32</v>
      </c>
      <c r="F19" s="1" t="s">
        <v>33</v>
      </c>
      <c r="G19" s="1" t="s">
        <v>34</v>
      </c>
      <c r="H19" s="12" t="b">
        <v>0</v>
      </c>
    </row>
    <row r="20" spans="2:8" x14ac:dyDescent="0.3">
      <c r="B20" s="1">
        <v>16</v>
      </c>
      <c r="C20" s="1" t="s">
        <v>48</v>
      </c>
      <c r="D20" s="1" t="s">
        <v>49</v>
      </c>
      <c r="F20" s="1" t="s">
        <v>33</v>
      </c>
      <c r="G20" s="1" t="s">
        <v>50</v>
      </c>
      <c r="H20" s="12" t="b">
        <v>0</v>
      </c>
    </row>
    <row r="21" spans="2:8" x14ac:dyDescent="0.3">
      <c r="B21" s="1">
        <v>17</v>
      </c>
      <c r="C21" s="1" t="s">
        <v>53</v>
      </c>
      <c r="D21" s="1" t="s">
        <v>54</v>
      </c>
      <c r="F21" s="1" t="s">
        <v>24</v>
      </c>
      <c r="G21" s="1" t="s">
        <v>55</v>
      </c>
      <c r="H21" s="12" t="b">
        <v>0</v>
      </c>
    </row>
    <row r="22" spans="2:8" x14ac:dyDescent="0.3">
      <c r="B22" s="1">
        <v>18</v>
      </c>
      <c r="C22" s="1" t="s">
        <v>56</v>
      </c>
      <c r="D22" s="1" t="s">
        <v>57</v>
      </c>
      <c r="F22" s="1" t="s">
        <v>33</v>
      </c>
      <c r="G22" s="1" t="s">
        <v>58</v>
      </c>
      <c r="H22" s="12" t="b">
        <v>0</v>
      </c>
    </row>
    <row r="23" spans="2:8" x14ac:dyDescent="0.3">
      <c r="B23" s="1">
        <v>19</v>
      </c>
      <c r="C23" s="1" t="s">
        <v>59</v>
      </c>
      <c r="D23" s="1" t="s">
        <v>60</v>
      </c>
      <c r="F23" s="1" t="s">
        <v>33</v>
      </c>
      <c r="G23" s="1" t="s">
        <v>61</v>
      </c>
      <c r="H23" s="12" t="b">
        <v>0</v>
      </c>
    </row>
    <row r="24" spans="2:8" x14ac:dyDescent="0.3">
      <c r="B24" s="1">
        <v>20</v>
      </c>
      <c r="C24" s="1" t="s">
        <v>62</v>
      </c>
      <c r="D24" s="1" t="s">
        <v>63</v>
      </c>
      <c r="F24" s="1" t="s">
        <v>24</v>
      </c>
      <c r="G24" s="1" t="s">
        <v>64</v>
      </c>
      <c r="H24" s="12" t="b">
        <v>0</v>
      </c>
    </row>
    <row r="25" spans="2:8" x14ac:dyDescent="0.3">
      <c r="B25" s="1">
        <v>21</v>
      </c>
      <c r="C25" s="1" t="s">
        <v>56</v>
      </c>
      <c r="D25" s="1" t="s">
        <v>57</v>
      </c>
      <c r="F25" s="1" t="s">
        <v>33</v>
      </c>
      <c r="G25" s="1" t="s">
        <v>58</v>
      </c>
      <c r="H25" s="12" t="b">
        <v>0</v>
      </c>
    </row>
    <row r="26" spans="2:8" x14ac:dyDescent="0.3">
      <c r="B26" s="1">
        <v>22</v>
      </c>
      <c r="C26" s="1" t="s">
        <v>59</v>
      </c>
      <c r="D26" s="1" t="s">
        <v>60</v>
      </c>
      <c r="F26" s="1" t="s">
        <v>33</v>
      </c>
      <c r="G26" s="1" t="s">
        <v>61</v>
      </c>
      <c r="H26" s="12" t="b">
        <v>0</v>
      </c>
    </row>
    <row r="27" spans="2:8" x14ac:dyDescent="0.3">
      <c r="B27" s="1">
        <v>23</v>
      </c>
      <c r="C27" s="1" t="s">
        <v>65</v>
      </c>
      <c r="D27" s="1" t="s">
        <v>66</v>
      </c>
      <c r="F27" s="1" t="s">
        <v>33</v>
      </c>
      <c r="G27" s="1" t="s">
        <v>67</v>
      </c>
      <c r="H27" s="12" t="b">
        <v>0</v>
      </c>
    </row>
    <row r="28" spans="2:8" x14ac:dyDescent="0.3">
      <c r="B28" s="1">
        <v>24</v>
      </c>
      <c r="C28" s="1" t="s">
        <v>68</v>
      </c>
      <c r="D28" s="1" t="s">
        <v>69</v>
      </c>
      <c r="F28" s="1" t="s">
        <v>24</v>
      </c>
      <c r="G28" s="1" t="s">
        <v>70</v>
      </c>
      <c r="H28" s="12" t="b">
        <v>0</v>
      </c>
    </row>
    <row r="29" spans="2:8" x14ac:dyDescent="0.3">
      <c r="B29" s="1">
        <v>25</v>
      </c>
      <c r="C29" s="1" t="s">
        <v>71</v>
      </c>
      <c r="F29" s="1" t="s">
        <v>24</v>
      </c>
      <c r="G29" s="1" t="s">
        <v>72</v>
      </c>
      <c r="H29" s="12" t="b">
        <v>0</v>
      </c>
    </row>
    <row r="30" spans="2:8" x14ac:dyDescent="0.3">
      <c r="B30" s="1">
        <v>26</v>
      </c>
      <c r="C30" s="1" t="s">
        <v>73</v>
      </c>
      <c r="D30" s="1" t="s">
        <v>74</v>
      </c>
      <c r="F30" s="1" t="s">
        <v>24</v>
      </c>
      <c r="G30" s="1" t="s">
        <v>75</v>
      </c>
      <c r="H30" s="12" t="b">
        <v>0</v>
      </c>
    </row>
    <row r="31" spans="2:8" x14ac:dyDescent="0.3">
      <c r="B31" s="1">
        <v>27</v>
      </c>
      <c r="C31" s="1" t="s">
        <v>38</v>
      </c>
      <c r="F31" s="1" t="s">
        <v>24</v>
      </c>
      <c r="G31" s="1" t="s">
        <v>39</v>
      </c>
      <c r="H31" s="12" t="b">
        <v>0</v>
      </c>
    </row>
    <row r="32" spans="2:8" x14ac:dyDescent="0.3">
      <c r="B32" s="1">
        <v>28</v>
      </c>
      <c r="C32" s="1" t="s">
        <v>38</v>
      </c>
      <c r="F32" s="1" t="s">
        <v>24</v>
      </c>
      <c r="G32" s="1" t="s">
        <v>39</v>
      </c>
      <c r="H32" s="12" t="b">
        <v>0</v>
      </c>
    </row>
    <row r="33" spans="2:8" x14ac:dyDescent="0.3">
      <c r="B33" s="1">
        <v>29</v>
      </c>
      <c r="C33" s="1" t="s">
        <v>76</v>
      </c>
      <c r="F33" s="1" t="s">
        <v>24</v>
      </c>
      <c r="G33" s="1" t="s">
        <v>77</v>
      </c>
      <c r="H33" s="12" t="b">
        <v>1</v>
      </c>
    </row>
    <row r="34" spans="2:8" x14ac:dyDescent="0.3">
      <c r="B34" s="1">
        <v>30</v>
      </c>
      <c r="C34" s="1" t="s">
        <v>31</v>
      </c>
      <c r="D34" s="1" t="s">
        <v>32</v>
      </c>
      <c r="F34" s="1" t="s">
        <v>33</v>
      </c>
      <c r="G34" s="1" t="s">
        <v>34</v>
      </c>
      <c r="H34" s="12" t="b">
        <v>0</v>
      </c>
    </row>
    <row r="35" spans="2:8" x14ac:dyDescent="0.3">
      <c r="B35" s="1">
        <v>31</v>
      </c>
      <c r="C35" s="1" t="s">
        <v>48</v>
      </c>
      <c r="D35" s="1" t="s">
        <v>49</v>
      </c>
      <c r="F35" s="1" t="s">
        <v>33</v>
      </c>
      <c r="G35" s="1" t="s">
        <v>50</v>
      </c>
      <c r="H35" s="12" t="b">
        <v>0</v>
      </c>
    </row>
    <row r="36" spans="2:8" x14ac:dyDescent="0.3">
      <c r="B36" s="1">
        <v>32</v>
      </c>
      <c r="C36" s="1" t="s">
        <v>53</v>
      </c>
      <c r="D36" s="1" t="s">
        <v>54</v>
      </c>
      <c r="F36" s="1" t="s">
        <v>24</v>
      </c>
      <c r="G36" s="1" t="s">
        <v>55</v>
      </c>
      <c r="H36" s="12" t="b">
        <v>0</v>
      </c>
    </row>
    <row r="37" spans="2:8" x14ac:dyDescent="0.3">
      <c r="B37" s="1">
        <v>33</v>
      </c>
      <c r="C37" s="1" t="s">
        <v>56</v>
      </c>
      <c r="D37" s="1" t="s">
        <v>57</v>
      </c>
      <c r="F37" s="1" t="s">
        <v>33</v>
      </c>
      <c r="G37" s="1" t="s">
        <v>58</v>
      </c>
      <c r="H37" s="12" t="b">
        <v>0</v>
      </c>
    </row>
    <row r="38" spans="2:8" x14ac:dyDescent="0.3">
      <c r="B38" s="1">
        <v>34</v>
      </c>
      <c r="C38" s="1" t="s">
        <v>59</v>
      </c>
      <c r="D38" s="1" t="s">
        <v>60</v>
      </c>
      <c r="F38" s="1" t="s">
        <v>33</v>
      </c>
      <c r="G38" s="1" t="s">
        <v>61</v>
      </c>
      <c r="H38" s="12" t="b">
        <v>0</v>
      </c>
    </row>
    <row r="39" spans="2:8" x14ac:dyDescent="0.3">
      <c r="B39" s="1">
        <v>35</v>
      </c>
      <c r="C39" s="1" t="s">
        <v>62</v>
      </c>
      <c r="D39" s="1" t="s">
        <v>63</v>
      </c>
      <c r="F39" s="1" t="s">
        <v>24</v>
      </c>
      <c r="G39" s="1" t="s">
        <v>64</v>
      </c>
      <c r="H39" s="12" t="b">
        <v>0</v>
      </c>
    </row>
    <row r="40" spans="2:8" x14ac:dyDescent="0.3">
      <c r="B40" s="1">
        <v>36</v>
      </c>
      <c r="C40" s="1" t="s">
        <v>56</v>
      </c>
      <c r="D40" s="1" t="s">
        <v>57</v>
      </c>
      <c r="F40" s="1" t="s">
        <v>33</v>
      </c>
      <c r="G40" s="1" t="s">
        <v>58</v>
      </c>
      <c r="H40" s="12" t="b">
        <v>0</v>
      </c>
    </row>
    <row r="41" spans="2:8" x14ac:dyDescent="0.3">
      <c r="B41" s="1">
        <v>37</v>
      </c>
      <c r="C41" s="1" t="s">
        <v>59</v>
      </c>
      <c r="D41" s="1" t="s">
        <v>60</v>
      </c>
      <c r="F41" s="1" t="s">
        <v>33</v>
      </c>
      <c r="G41" s="1" t="s">
        <v>61</v>
      </c>
      <c r="H41" s="12" t="b">
        <v>0</v>
      </c>
    </row>
    <row r="42" spans="2:8" x14ac:dyDescent="0.3">
      <c r="B42" s="1">
        <v>38</v>
      </c>
      <c r="C42" s="1" t="s">
        <v>65</v>
      </c>
      <c r="D42" s="1" t="s">
        <v>66</v>
      </c>
      <c r="F42" s="1" t="s">
        <v>33</v>
      </c>
      <c r="G42" s="1" t="s">
        <v>67</v>
      </c>
      <c r="H42" s="12" t="b">
        <v>0</v>
      </c>
    </row>
    <row r="43" spans="2:8" x14ac:dyDescent="0.3">
      <c r="B43" s="1">
        <v>39</v>
      </c>
      <c r="C43" s="1" t="s">
        <v>68</v>
      </c>
      <c r="D43" s="1" t="s">
        <v>69</v>
      </c>
      <c r="F43" s="1" t="s">
        <v>24</v>
      </c>
      <c r="G43" s="1" t="s">
        <v>70</v>
      </c>
      <c r="H43" s="12" t="b">
        <v>0</v>
      </c>
    </row>
    <row r="44" spans="2:8" x14ac:dyDescent="0.3">
      <c r="B44" s="1">
        <v>40</v>
      </c>
      <c r="C44" s="1" t="s">
        <v>71</v>
      </c>
      <c r="F44" s="1" t="s">
        <v>24</v>
      </c>
      <c r="G44" s="1" t="s">
        <v>72</v>
      </c>
      <c r="H44" s="12" t="b">
        <v>0</v>
      </c>
    </row>
    <row r="45" spans="2:8" x14ac:dyDescent="0.3">
      <c r="B45" s="1">
        <v>41</v>
      </c>
      <c r="C45" s="1" t="s">
        <v>73</v>
      </c>
      <c r="D45" s="1" t="s">
        <v>74</v>
      </c>
      <c r="F45" s="1" t="s">
        <v>24</v>
      </c>
      <c r="G45" s="1" t="s">
        <v>75</v>
      </c>
      <c r="H45" s="12" t="b">
        <v>0</v>
      </c>
    </row>
    <row r="46" spans="2:8" x14ac:dyDescent="0.3">
      <c r="B46" s="1">
        <v>42</v>
      </c>
      <c r="C46" s="1" t="s">
        <v>38</v>
      </c>
      <c r="F46" s="1" t="s">
        <v>24</v>
      </c>
      <c r="G46" s="1" t="s">
        <v>39</v>
      </c>
      <c r="H46" s="12" t="b">
        <v>0</v>
      </c>
    </row>
    <row r="47" spans="2:8" x14ac:dyDescent="0.3">
      <c r="B47" s="1">
        <v>43</v>
      </c>
      <c r="C47" s="1" t="s">
        <v>38</v>
      </c>
      <c r="F47" s="1" t="s">
        <v>24</v>
      </c>
      <c r="G47" s="1" t="s">
        <v>39</v>
      </c>
      <c r="H47" s="12" t="b">
        <v>0</v>
      </c>
    </row>
    <row r="48" spans="2:8" x14ac:dyDescent="0.3">
      <c r="B48" s="1">
        <v>44</v>
      </c>
      <c r="C48" s="1" t="s">
        <v>78</v>
      </c>
      <c r="F48" s="1" t="s">
        <v>24</v>
      </c>
      <c r="G48" s="1" t="s">
        <v>79</v>
      </c>
      <c r="H48" s="12" t="b">
        <v>1</v>
      </c>
    </row>
    <row r="49" spans="2:8" x14ac:dyDescent="0.3">
      <c r="B49" s="1">
        <v>45</v>
      </c>
      <c r="C49" s="1" t="s">
        <v>80</v>
      </c>
      <c r="D49" s="1" t="s">
        <v>81</v>
      </c>
      <c r="F49" s="1" t="s">
        <v>24</v>
      </c>
      <c r="G49" s="1" t="s">
        <v>82</v>
      </c>
      <c r="H49" s="12" t="b">
        <v>0</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AA7E4-C81C-41F6-9B23-EDEC8259EB99}">
  <sheetPr codeName="Sheet8"/>
  <dimension ref="B1:S242"/>
  <sheetViews>
    <sheetView showGridLines="0" tabSelected="1" zoomScale="70" zoomScaleNormal="70" workbookViewId="0">
      <pane ySplit="2" topLeftCell="A37" activePane="bottomLeft" state="frozenSplit"/>
      <selection activeCell="I13" sqref="I13"/>
      <selection pane="bottomLeft" activeCell="C33" sqref="C33"/>
    </sheetView>
  </sheetViews>
  <sheetFormatPr defaultColWidth="9.23046875" defaultRowHeight="18.75" x14ac:dyDescent="0.3"/>
  <cols>
    <col min="1" max="1" width="1.3046875" style="1" customWidth="1"/>
    <col min="2" max="2" width="4.15234375" style="1" bestFit="1" customWidth="1"/>
    <col min="3" max="3" width="27.3828125" style="1" customWidth="1"/>
    <col min="4" max="4" width="10.15234375" style="1" bestFit="1" customWidth="1"/>
    <col min="5" max="5" width="9.15234375" style="1" bestFit="1" customWidth="1"/>
    <col min="6" max="6" width="21.69140625" style="1" customWidth="1"/>
    <col min="7" max="7" width="49.07421875" style="1" customWidth="1"/>
    <col min="8" max="8" width="8.921875" style="1" bestFit="1" customWidth="1"/>
    <col min="9" max="9" width="8.921875" style="1" customWidth="1"/>
    <col min="10" max="10" width="8.53515625" style="1" customWidth="1"/>
    <col min="11" max="11" width="9.23046875" style="1"/>
    <col min="12" max="12" width="2.4609375" style="1" bestFit="1" customWidth="1"/>
    <col min="13" max="13" width="2.3046875" style="1" bestFit="1" customWidth="1"/>
    <col min="14" max="14" width="3.3828125" style="1" customWidth="1"/>
    <col min="15" max="16" width="1.4609375" style="1" bestFit="1" customWidth="1"/>
    <col min="17" max="17" width="2.23046875" style="1" customWidth="1"/>
    <col min="18" max="18" width="4.3046875" style="1" bestFit="1" customWidth="1"/>
    <col min="19" max="19" width="3.765625" style="1" bestFit="1" customWidth="1"/>
    <col min="20" max="16384" width="9.23046875" style="1"/>
  </cols>
  <sheetData>
    <row r="1" spans="2:19" ht="75" customHeight="1" x14ac:dyDescent="0.3">
      <c r="O1" s="5" t="s">
        <v>676</v>
      </c>
    </row>
    <row r="2" spans="2:19" ht="30.75" thickBot="1" x14ac:dyDescent="0.35">
      <c r="B2" s="11" t="s">
        <v>11</v>
      </c>
      <c r="C2" s="11"/>
      <c r="D2" s="11"/>
      <c r="E2" s="11"/>
      <c r="F2" s="11"/>
      <c r="G2" s="11"/>
      <c r="H2" s="11"/>
      <c r="I2" s="11"/>
      <c r="J2" s="11"/>
      <c r="R2" s="18" t="s">
        <v>674</v>
      </c>
      <c r="S2" s="19" t="s">
        <v>675</v>
      </c>
    </row>
    <row r="3" spans="2:19" ht="21" thickTop="1" x14ac:dyDescent="0.3">
      <c r="E3" s="13" t="s">
        <v>83</v>
      </c>
      <c r="R3" s="20"/>
      <c r="S3" s="21"/>
    </row>
    <row r="4" spans="2:19" x14ac:dyDescent="0.3">
      <c r="B4" s="5" t="s">
        <v>19</v>
      </c>
      <c r="C4" s="5" t="s">
        <v>20</v>
      </c>
      <c r="D4" s="5" t="s">
        <v>14</v>
      </c>
      <c r="E4" s="5" t="s">
        <v>21</v>
      </c>
      <c r="F4" s="5" t="s">
        <v>15</v>
      </c>
      <c r="G4" s="5" t="s">
        <v>16</v>
      </c>
      <c r="H4" s="5" t="s">
        <v>17</v>
      </c>
      <c r="I4" s="5" t="s">
        <v>84</v>
      </c>
      <c r="J4" s="5" t="s">
        <v>870</v>
      </c>
    </row>
    <row r="5" spans="2:19" x14ac:dyDescent="0.3">
      <c r="B5" s="1" cm="1">
        <f t="array" ref="B5:B222">_xlfn.SEQUENCE(COUNTA(_xlfn._TRO_ALL(C:C))-1)</f>
        <v>1</v>
      </c>
      <c r="C5" s="1" t="s">
        <v>85</v>
      </c>
      <c r="D5" s="1" t="s">
        <v>86</v>
      </c>
      <c r="F5" s="1" t="s">
        <v>24</v>
      </c>
      <c r="G5" s="1" t="s">
        <v>25</v>
      </c>
      <c r="H5" s="12" t="b">
        <v>1</v>
      </c>
      <c r="I5" s="1">
        <v>1</v>
      </c>
      <c r="L5" s="1" cm="1">
        <f t="array" ref="L5:M18">_xlfn._xlws.SORT(_xlfn.LET(_xlpm.cnt,CountEachUniqueValue(_xlfn._TRO_TRAILING(I5:I4902)),_xlfn._xlws.FILTER(_xlpm.cnt,_xlfn.TAKE(_xlpm.cnt,,1)&lt;&gt;"")))</f>
        <v>1</v>
      </c>
      <c r="M5" s="1">
        <v>9</v>
      </c>
    </row>
    <row r="6" spans="2:19" ht="37.5" x14ac:dyDescent="0.3">
      <c r="B6" s="1">
        <v>2</v>
      </c>
      <c r="C6" s="1" t="s">
        <v>87</v>
      </c>
      <c r="F6" s="1" t="s">
        <v>24</v>
      </c>
      <c r="G6" s="9" t="s">
        <v>88</v>
      </c>
      <c r="H6" s="12" t="b">
        <v>0</v>
      </c>
      <c r="I6" s="1">
        <v>1</v>
      </c>
      <c r="L6" s="1">
        <v>2</v>
      </c>
      <c r="M6" s="1">
        <v>17</v>
      </c>
    </row>
    <row r="7" spans="2:19" x14ac:dyDescent="0.3">
      <c r="B7" s="1">
        <v>3</v>
      </c>
      <c r="C7" s="1" t="s">
        <v>572</v>
      </c>
      <c r="D7" s="1" t="s">
        <v>573</v>
      </c>
      <c r="F7" s="1" t="s">
        <v>24</v>
      </c>
      <c r="G7" s="1" t="s">
        <v>574</v>
      </c>
      <c r="H7" s="12" t="b">
        <v>0</v>
      </c>
      <c r="I7" s="1">
        <v>6</v>
      </c>
      <c r="L7" s="1">
        <v>3</v>
      </c>
      <c r="M7" s="1">
        <v>19</v>
      </c>
    </row>
    <row r="8" spans="2:19" x14ac:dyDescent="0.3">
      <c r="B8" s="1">
        <v>4</v>
      </c>
      <c r="C8" s="1" t="s">
        <v>568</v>
      </c>
      <c r="D8" s="1" t="s">
        <v>569</v>
      </c>
      <c r="F8" s="1" t="s">
        <v>24</v>
      </c>
      <c r="G8" s="1" t="s">
        <v>25</v>
      </c>
      <c r="H8" s="12" t="b">
        <v>1</v>
      </c>
      <c r="I8" s="1">
        <v>6</v>
      </c>
      <c r="L8" s="1">
        <v>4</v>
      </c>
      <c r="M8" s="1">
        <v>3</v>
      </c>
    </row>
    <row r="9" spans="2:19" x14ac:dyDescent="0.3">
      <c r="B9" s="1">
        <v>5</v>
      </c>
      <c r="C9" s="16" t="s">
        <v>89</v>
      </c>
      <c r="D9" s="1" t="s">
        <v>90</v>
      </c>
      <c r="F9" s="1" t="s">
        <v>24</v>
      </c>
      <c r="G9" s="1" t="s">
        <v>91</v>
      </c>
      <c r="H9" s="12" t="b">
        <v>0</v>
      </c>
      <c r="I9" s="1">
        <v>1</v>
      </c>
      <c r="L9" s="1">
        <v>5</v>
      </c>
      <c r="M9" s="1">
        <v>16</v>
      </c>
    </row>
    <row r="10" spans="2:19" x14ac:dyDescent="0.3">
      <c r="B10" s="1">
        <v>6</v>
      </c>
      <c r="C10" s="1" t="s">
        <v>530</v>
      </c>
      <c r="D10" s="1" t="s">
        <v>531</v>
      </c>
      <c r="F10" s="1" t="s">
        <v>24</v>
      </c>
      <c r="G10" s="1" t="s">
        <v>532</v>
      </c>
      <c r="H10" s="12" t="b">
        <v>0</v>
      </c>
      <c r="I10" s="1">
        <v>13</v>
      </c>
      <c r="L10" s="1">
        <v>6</v>
      </c>
      <c r="M10" s="1">
        <v>5</v>
      </c>
    </row>
    <row r="11" spans="2:19" x14ac:dyDescent="0.3">
      <c r="B11" s="1">
        <v>7</v>
      </c>
      <c r="C11" s="1" t="s">
        <v>677</v>
      </c>
      <c r="D11" s="1" t="s">
        <v>678</v>
      </c>
      <c r="E11" s="17"/>
      <c r="F11" s="1" t="s">
        <v>24</v>
      </c>
      <c r="G11" s="1" t="s">
        <v>679</v>
      </c>
      <c r="H11" s="12" t="b">
        <v>0</v>
      </c>
      <c r="I11" s="1">
        <v>13</v>
      </c>
      <c r="L11" s="1">
        <v>7</v>
      </c>
      <c r="M11" s="1">
        <v>18</v>
      </c>
    </row>
    <row r="12" spans="2:19" x14ac:dyDescent="0.3">
      <c r="B12" s="1">
        <v>8</v>
      </c>
      <c r="C12" s="1" t="s">
        <v>92</v>
      </c>
      <c r="D12" s="1" t="s">
        <v>93</v>
      </c>
      <c r="E12" s="1" t="s">
        <v>94</v>
      </c>
      <c r="F12" s="1" t="s">
        <v>24</v>
      </c>
      <c r="G12" s="1" t="s">
        <v>95</v>
      </c>
      <c r="H12" s="12" t="b">
        <v>0</v>
      </c>
      <c r="I12" s="1">
        <v>2</v>
      </c>
      <c r="L12" s="1">
        <v>8</v>
      </c>
      <c r="M12" s="1">
        <v>50</v>
      </c>
    </row>
    <row r="13" spans="2:19" x14ac:dyDescent="0.3">
      <c r="B13" s="1">
        <v>9</v>
      </c>
      <c r="C13" s="1" t="s">
        <v>503</v>
      </c>
      <c r="G13" s="1" t="s">
        <v>504</v>
      </c>
      <c r="H13" s="12" t="b">
        <v>1</v>
      </c>
      <c r="I13" s="1">
        <v>3</v>
      </c>
      <c r="L13" s="1">
        <v>9</v>
      </c>
      <c r="M13" s="1">
        <v>38</v>
      </c>
    </row>
    <row r="14" spans="2:19" x14ac:dyDescent="0.3">
      <c r="B14" s="1">
        <v>10</v>
      </c>
      <c r="C14" s="1" t="s">
        <v>117</v>
      </c>
      <c r="D14" s="1" t="s">
        <v>118</v>
      </c>
      <c r="F14" s="1" t="s">
        <v>24</v>
      </c>
      <c r="G14" s="1" t="s">
        <v>502</v>
      </c>
      <c r="H14" s="12" t="b">
        <v>0</v>
      </c>
      <c r="I14" s="1">
        <v>2</v>
      </c>
      <c r="L14" s="1">
        <v>10</v>
      </c>
      <c r="M14" s="1">
        <v>1</v>
      </c>
    </row>
    <row r="15" spans="2:19" ht="37.5" x14ac:dyDescent="0.3">
      <c r="B15" s="1">
        <v>11</v>
      </c>
      <c r="C15" s="1" t="s">
        <v>96</v>
      </c>
      <c r="D15" s="1" t="s">
        <v>97</v>
      </c>
      <c r="E15" s="1" t="s">
        <v>98</v>
      </c>
      <c r="F15" s="1" t="s">
        <v>24</v>
      </c>
      <c r="G15" s="9" t="s">
        <v>99</v>
      </c>
      <c r="H15" s="12" t="b">
        <v>0</v>
      </c>
      <c r="I15" s="1">
        <v>2</v>
      </c>
      <c r="L15" s="1">
        <v>11</v>
      </c>
      <c r="M15" s="1">
        <v>19</v>
      </c>
    </row>
    <row r="16" spans="2:19" x14ac:dyDescent="0.3">
      <c r="B16" s="1">
        <v>12</v>
      </c>
      <c r="C16" s="1" t="s">
        <v>506</v>
      </c>
      <c r="G16" s="1" t="s">
        <v>505</v>
      </c>
      <c r="H16" s="12" t="b">
        <v>1</v>
      </c>
      <c r="I16" s="1">
        <v>3</v>
      </c>
      <c r="L16" s="1">
        <v>12</v>
      </c>
      <c r="M16" s="1">
        <v>11</v>
      </c>
    </row>
    <row r="17" spans="2:13" x14ac:dyDescent="0.3">
      <c r="B17" s="1">
        <v>13</v>
      </c>
      <c r="C17" s="1" t="s">
        <v>100</v>
      </c>
      <c r="D17" s="1" t="s">
        <v>101</v>
      </c>
      <c r="F17" s="1" t="s">
        <v>24</v>
      </c>
      <c r="G17" s="1" t="s">
        <v>102</v>
      </c>
      <c r="H17" s="12" t="b">
        <v>0</v>
      </c>
      <c r="I17" s="1">
        <v>2</v>
      </c>
      <c r="L17" s="1">
        <v>13</v>
      </c>
      <c r="M17" s="1">
        <v>9</v>
      </c>
    </row>
    <row r="18" spans="2:13" x14ac:dyDescent="0.3">
      <c r="B18" s="1">
        <v>14</v>
      </c>
      <c r="C18" s="1" t="s">
        <v>103</v>
      </c>
      <c r="D18" s="1" t="s">
        <v>104</v>
      </c>
      <c r="F18" s="1" t="s">
        <v>105</v>
      </c>
      <c r="G18" s="1" t="s">
        <v>106</v>
      </c>
      <c r="H18" s="12" t="b">
        <v>0</v>
      </c>
      <c r="I18" s="1">
        <v>2</v>
      </c>
      <c r="L18" s="1">
        <v>14</v>
      </c>
      <c r="M18" s="1">
        <v>3</v>
      </c>
    </row>
    <row r="19" spans="2:13" x14ac:dyDescent="0.3">
      <c r="B19" s="1">
        <v>15</v>
      </c>
      <c r="C19" s="16" t="s">
        <v>107</v>
      </c>
      <c r="D19" s="1" t="s">
        <v>108</v>
      </c>
      <c r="F19" s="1" t="s">
        <v>24</v>
      </c>
      <c r="G19" s="1" t="s">
        <v>109</v>
      </c>
      <c r="H19" s="12" t="b">
        <v>0</v>
      </c>
      <c r="I19" s="1">
        <v>1</v>
      </c>
    </row>
    <row r="20" spans="2:13" x14ac:dyDescent="0.3">
      <c r="B20" s="1">
        <v>16</v>
      </c>
      <c r="C20" s="1" t="s">
        <v>530</v>
      </c>
      <c r="D20" s="1" t="s">
        <v>531</v>
      </c>
      <c r="F20" s="1" t="s">
        <v>24</v>
      </c>
      <c r="G20" s="1" t="s">
        <v>532</v>
      </c>
      <c r="H20" s="12" t="b">
        <v>0</v>
      </c>
      <c r="I20" s="1">
        <v>13</v>
      </c>
    </row>
    <row r="21" spans="2:13" x14ac:dyDescent="0.3">
      <c r="B21" s="1">
        <v>17</v>
      </c>
      <c r="C21" s="1" t="s">
        <v>677</v>
      </c>
      <c r="D21" s="1" t="s">
        <v>678</v>
      </c>
      <c r="E21" s="17"/>
      <c r="F21" s="1" t="s">
        <v>24</v>
      </c>
      <c r="G21" s="1" t="s">
        <v>679</v>
      </c>
      <c r="H21" s="12" t="b">
        <v>0</v>
      </c>
      <c r="I21" s="1">
        <v>13</v>
      </c>
    </row>
    <row r="22" spans="2:13" x14ac:dyDescent="0.3">
      <c r="B22" s="1">
        <v>18</v>
      </c>
      <c r="C22" s="1" t="s">
        <v>110</v>
      </c>
      <c r="D22" s="1" t="s">
        <v>111</v>
      </c>
      <c r="E22" s="1" t="s">
        <v>112</v>
      </c>
      <c r="F22" s="1" t="s">
        <v>24</v>
      </c>
      <c r="G22" s="1" t="s">
        <v>113</v>
      </c>
      <c r="H22" s="12" t="b">
        <v>0</v>
      </c>
      <c r="I22" s="1">
        <v>2</v>
      </c>
    </row>
    <row r="23" spans="2:13" x14ac:dyDescent="0.3">
      <c r="B23" s="1">
        <v>19</v>
      </c>
      <c r="C23" s="1" t="s">
        <v>507</v>
      </c>
      <c r="G23" s="1" t="s">
        <v>508</v>
      </c>
      <c r="H23" s="12" t="b">
        <v>1</v>
      </c>
      <c r="I23" s="1">
        <v>3</v>
      </c>
    </row>
    <row r="24" spans="2:13" x14ac:dyDescent="0.3">
      <c r="B24" s="1">
        <v>20</v>
      </c>
      <c r="C24" s="1" t="s">
        <v>114</v>
      </c>
      <c r="D24" s="1" t="s">
        <v>115</v>
      </c>
      <c r="F24" s="1" t="s">
        <v>24</v>
      </c>
      <c r="G24" s="1" t="s">
        <v>116</v>
      </c>
      <c r="H24" s="12" t="b">
        <v>0</v>
      </c>
      <c r="I24" s="1">
        <v>2</v>
      </c>
    </row>
    <row r="25" spans="2:13" x14ac:dyDescent="0.3">
      <c r="B25" s="1">
        <v>21</v>
      </c>
      <c r="C25" s="1" t="s">
        <v>511</v>
      </c>
      <c r="D25" s="1" t="s">
        <v>513</v>
      </c>
      <c r="F25" s="1" t="s">
        <v>24</v>
      </c>
      <c r="G25" s="1" t="s">
        <v>636</v>
      </c>
      <c r="H25" s="12" t="b">
        <v>0</v>
      </c>
      <c r="I25" s="1">
        <v>2</v>
      </c>
    </row>
    <row r="26" spans="2:13" x14ac:dyDescent="0.3">
      <c r="B26" s="1">
        <v>22</v>
      </c>
      <c r="C26" s="1" t="s">
        <v>634</v>
      </c>
      <c r="F26" s="1" t="s">
        <v>24</v>
      </c>
      <c r="G26" s="1" t="s">
        <v>635</v>
      </c>
      <c r="H26" s="12" t="b">
        <v>1</v>
      </c>
      <c r="I26" s="1">
        <v>9</v>
      </c>
    </row>
    <row r="27" spans="2:13" x14ac:dyDescent="0.3">
      <c r="B27" s="1">
        <v>23</v>
      </c>
      <c r="C27" s="1" t="s">
        <v>530</v>
      </c>
      <c r="D27" s="1" t="s">
        <v>531</v>
      </c>
      <c r="F27" s="1" t="s">
        <v>24</v>
      </c>
      <c r="G27" s="1" t="s">
        <v>532</v>
      </c>
      <c r="H27" s="12" t="b">
        <v>0</v>
      </c>
      <c r="I27" s="1">
        <v>6</v>
      </c>
    </row>
    <row r="28" spans="2:13" x14ac:dyDescent="0.3">
      <c r="B28" s="1">
        <v>24</v>
      </c>
      <c r="C28" s="1" t="s">
        <v>512</v>
      </c>
      <c r="D28" s="1" t="s">
        <v>514</v>
      </c>
      <c r="F28" s="1" t="s">
        <v>24</v>
      </c>
      <c r="G28" s="1" t="s">
        <v>637</v>
      </c>
      <c r="H28" s="12" t="b">
        <v>0</v>
      </c>
      <c r="I28" s="1">
        <v>2</v>
      </c>
    </row>
    <row r="29" spans="2:13" x14ac:dyDescent="0.3">
      <c r="B29" s="1">
        <v>25</v>
      </c>
      <c r="C29" s="1" t="s">
        <v>122</v>
      </c>
      <c r="D29" s="1" t="s">
        <v>123</v>
      </c>
      <c r="F29" s="1" t="s">
        <v>24</v>
      </c>
      <c r="G29" s="1" t="s">
        <v>124</v>
      </c>
      <c r="H29" s="12" t="b">
        <v>0</v>
      </c>
      <c r="I29" s="1">
        <v>2</v>
      </c>
    </row>
    <row r="30" spans="2:13" x14ac:dyDescent="0.3">
      <c r="B30" s="1">
        <v>26</v>
      </c>
      <c r="C30" s="1" t="s">
        <v>590</v>
      </c>
      <c r="D30" s="1" t="s">
        <v>125</v>
      </c>
      <c r="F30" s="1" t="s">
        <v>24</v>
      </c>
      <c r="G30" s="1" t="s">
        <v>126</v>
      </c>
      <c r="H30" s="12" t="b">
        <v>1</v>
      </c>
      <c r="I30" s="1">
        <v>2</v>
      </c>
    </row>
    <row r="31" spans="2:13" x14ac:dyDescent="0.3">
      <c r="B31" s="1">
        <v>27</v>
      </c>
      <c r="C31" s="1" t="s">
        <v>127</v>
      </c>
      <c r="D31" s="1" t="s">
        <v>128</v>
      </c>
      <c r="F31" s="1" t="s">
        <v>129</v>
      </c>
      <c r="G31" s="1" t="s">
        <v>130</v>
      </c>
      <c r="H31" s="12" t="b">
        <v>0</v>
      </c>
      <c r="I31" s="1">
        <v>2</v>
      </c>
    </row>
    <row r="32" spans="2:13" x14ac:dyDescent="0.3">
      <c r="B32" s="1">
        <v>28</v>
      </c>
      <c r="C32" s="1" t="s">
        <v>100</v>
      </c>
      <c r="D32" s="1" t="s">
        <v>101</v>
      </c>
      <c r="F32" s="1" t="s">
        <v>24</v>
      </c>
      <c r="G32" s="1" t="s">
        <v>102</v>
      </c>
      <c r="H32" s="12" t="b">
        <v>0</v>
      </c>
      <c r="I32" s="1">
        <v>2</v>
      </c>
    </row>
    <row r="33" spans="2:9" x14ac:dyDescent="0.3">
      <c r="B33" s="1">
        <v>29</v>
      </c>
      <c r="C33" s="1" t="s">
        <v>103</v>
      </c>
      <c r="D33" s="1" t="s">
        <v>104</v>
      </c>
      <c r="F33" s="1" t="s">
        <v>105</v>
      </c>
      <c r="G33" s="1" t="s">
        <v>106</v>
      </c>
      <c r="H33" s="12" t="b">
        <v>0</v>
      </c>
      <c r="I33" s="1">
        <v>2</v>
      </c>
    </row>
    <row r="34" spans="2:9" x14ac:dyDescent="0.3">
      <c r="B34" s="1">
        <v>30</v>
      </c>
      <c r="C34" s="16" t="s">
        <v>131</v>
      </c>
      <c r="D34" s="1" t="s">
        <v>132</v>
      </c>
      <c r="F34" s="1" t="s">
        <v>24</v>
      </c>
      <c r="G34" s="1" t="s">
        <v>133</v>
      </c>
      <c r="H34" s="12" t="b">
        <v>0</v>
      </c>
      <c r="I34" s="1">
        <v>1</v>
      </c>
    </row>
    <row r="35" spans="2:9" x14ac:dyDescent="0.3">
      <c r="B35" s="1">
        <v>31</v>
      </c>
      <c r="C35" s="1" t="s">
        <v>530</v>
      </c>
      <c r="D35" s="1" t="s">
        <v>531</v>
      </c>
      <c r="F35" s="1" t="s">
        <v>24</v>
      </c>
      <c r="G35" s="1" t="s">
        <v>532</v>
      </c>
      <c r="H35" s="12" t="b">
        <v>0</v>
      </c>
      <c r="I35" s="1">
        <v>13</v>
      </c>
    </row>
    <row r="36" spans="2:9" x14ac:dyDescent="0.3">
      <c r="B36" s="1">
        <v>32</v>
      </c>
      <c r="C36" s="1" t="s">
        <v>677</v>
      </c>
      <c r="D36" s="1" t="s">
        <v>678</v>
      </c>
      <c r="E36" s="17"/>
      <c r="F36" s="1" t="s">
        <v>24</v>
      </c>
      <c r="G36" s="1" t="s">
        <v>679</v>
      </c>
      <c r="H36" s="12" t="b">
        <v>0</v>
      </c>
      <c r="I36" s="1">
        <v>13</v>
      </c>
    </row>
    <row r="37" spans="2:9" x14ac:dyDescent="0.3">
      <c r="B37" s="1">
        <v>33</v>
      </c>
      <c r="C37" s="1" t="s">
        <v>110</v>
      </c>
      <c r="D37" s="1" t="s">
        <v>111</v>
      </c>
      <c r="E37" s="1" t="s">
        <v>112</v>
      </c>
      <c r="F37" s="1" t="s">
        <v>24</v>
      </c>
      <c r="G37" s="1" t="s">
        <v>113</v>
      </c>
      <c r="H37" s="12" t="b">
        <v>0</v>
      </c>
      <c r="I37" s="1">
        <v>2</v>
      </c>
    </row>
    <row r="38" spans="2:9" x14ac:dyDescent="0.3">
      <c r="B38" s="1">
        <v>34</v>
      </c>
      <c r="C38" s="1" t="s">
        <v>507</v>
      </c>
      <c r="F38" s="1" t="s">
        <v>24</v>
      </c>
      <c r="G38" s="1" t="s">
        <v>508</v>
      </c>
      <c r="H38" s="12" t="b">
        <v>1</v>
      </c>
      <c r="I38" s="1">
        <v>3</v>
      </c>
    </row>
    <row r="39" spans="2:9" x14ac:dyDescent="0.3">
      <c r="B39" s="1">
        <v>35</v>
      </c>
      <c r="C39" s="1" t="s">
        <v>114</v>
      </c>
      <c r="D39" s="1" t="s">
        <v>115</v>
      </c>
      <c r="F39" s="1" t="s">
        <v>24</v>
      </c>
      <c r="G39" s="1" t="s">
        <v>116</v>
      </c>
      <c r="H39" s="12" t="b">
        <v>0</v>
      </c>
      <c r="I39" s="1">
        <v>2</v>
      </c>
    </row>
    <row r="40" spans="2:9" x14ac:dyDescent="0.3">
      <c r="B40" s="1">
        <v>36</v>
      </c>
      <c r="C40" s="1" t="s">
        <v>511</v>
      </c>
      <c r="D40" s="1" t="s">
        <v>513</v>
      </c>
      <c r="F40" s="1" t="s">
        <v>24</v>
      </c>
      <c r="G40" s="1" t="s">
        <v>636</v>
      </c>
      <c r="H40" s="12" t="b">
        <v>0</v>
      </c>
      <c r="I40" s="1">
        <v>3</v>
      </c>
    </row>
    <row r="41" spans="2:9" x14ac:dyDescent="0.3">
      <c r="B41" s="1">
        <v>37</v>
      </c>
      <c r="C41" s="1" t="s">
        <v>634</v>
      </c>
      <c r="F41" s="1" t="s">
        <v>24</v>
      </c>
      <c r="G41" s="1" t="s">
        <v>635</v>
      </c>
      <c r="H41" s="12" t="b">
        <v>1</v>
      </c>
      <c r="I41" s="1">
        <v>9</v>
      </c>
    </row>
    <row r="42" spans="2:9" x14ac:dyDescent="0.3">
      <c r="B42" s="1">
        <v>38</v>
      </c>
      <c r="C42" s="1" t="s">
        <v>530</v>
      </c>
      <c r="D42" s="1" t="s">
        <v>531</v>
      </c>
      <c r="F42" s="1" t="s">
        <v>24</v>
      </c>
      <c r="G42" s="1" t="s">
        <v>532</v>
      </c>
      <c r="H42" s="12" t="b">
        <v>0</v>
      </c>
      <c r="I42" s="1">
        <v>6</v>
      </c>
    </row>
    <row r="43" spans="2:9" x14ac:dyDescent="0.3">
      <c r="B43" s="1">
        <v>39</v>
      </c>
      <c r="C43" s="1" t="s">
        <v>512</v>
      </c>
      <c r="D43" s="1" t="s">
        <v>514</v>
      </c>
      <c r="F43" s="1" t="s">
        <v>24</v>
      </c>
      <c r="G43" s="1" t="s">
        <v>637</v>
      </c>
      <c r="H43" s="12" t="b">
        <v>0</v>
      </c>
      <c r="I43" s="1">
        <v>3</v>
      </c>
    </row>
    <row r="44" spans="2:9" x14ac:dyDescent="0.3">
      <c r="B44" s="1">
        <v>40</v>
      </c>
      <c r="C44" s="1" t="s">
        <v>715</v>
      </c>
      <c r="D44" s="1" t="s">
        <v>69</v>
      </c>
      <c r="F44" s="1" t="s">
        <v>24</v>
      </c>
      <c r="G44" s="1" t="s">
        <v>70</v>
      </c>
      <c r="H44" s="12" t="b">
        <v>0</v>
      </c>
      <c r="I44" s="1">
        <v>3</v>
      </c>
    </row>
    <row r="45" spans="2:9" x14ac:dyDescent="0.3">
      <c r="B45" s="1">
        <v>41</v>
      </c>
      <c r="C45" s="1" t="s">
        <v>119</v>
      </c>
      <c r="D45" s="1" t="s">
        <v>120</v>
      </c>
      <c r="F45" s="1" t="s">
        <v>24</v>
      </c>
      <c r="G45" s="1" t="s">
        <v>121</v>
      </c>
      <c r="H45" s="12" t="b">
        <v>0</v>
      </c>
      <c r="I45" s="1">
        <v>3</v>
      </c>
    </row>
    <row r="46" spans="2:9" x14ac:dyDescent="0.3">
      <c r="B46" s="1">
        <v>42</v>
      </c>
      <c r="C46" s="1" t="s">
        <v>122</v>
      </c>
      <c r="D46" s="1" t="s">
        <v>123</v>
      </c>
      <c r="F46" s="1" t="s">
        <v>24</v>
      </c>
      <c r="G46" s="1" t="s">
        <v>124</v>
      </c>
      <c r="H46" s="12" t="b">
        <v>0</v>
      </c>
      <c r="I46" s="1">
        <v>3</v>
      </c>
    </row>
    <row r="47" spans="2:9" ht="37.5" x14ac:dyDescent="0.3">
      <c r="B47" s="1">
        <v>43</v>
      </c>
      <c r="C47" s="1" t="s">
        <v>96</v>
      </c>
      <c r="D47" s="1" t="s">
        <v>97</v>
      </c>
      <c r="E47" s="1" t="s">
        <v>98</v>
      </c>
      <c r="F47" s="1" t="s">
        <v>24</v>
      </c>
      <c r="G47" s="9" t="s">
        <v>99</v>
      </c>
      <c r="H47" s="12" t="b">
        <v>0</v>
      </c>
      <c r="I47" s="1">
        <v>2</v>
      </c>
    </row>
    <row r="48" spans="2:9" x14ac:dyDescent="0.3">
      <c r="B48" s="1">
        <v>44</v>
      </c>
      <c r="C48" s="1" t="s">
        <v>506</v>
      </c>
      <c r="G48" s="1" t="s">
        <v>505</v>
      </c>
      <c r="H48" s="12" t="b">
        <v>1</v>
      </c>
      <c r="I48" s="1">
        <v>3</v>
      </c>
    </row>
    <row r="49" spans="2:9" x14ac:dyDescent="0.3">
      <c r="B49" s="1">
        <v>45</v>
      </c>
      <c r="C49" s="1" t="s">
        <v>100</v>
      </c>
      <c r="D49" s="1" t="s">
        <v>101</v>
      </c>
      <c r="F49" s="1" t="s">
        <v>24</v>
      </c>
      <c r="G49" s="1" t="s">
        <v>102</v>
      </c>
      <c r="H49" s="12" t="b">
        <v>0</v>
      </c>
      <c r="I49" s="1">
        <v>3</v>
      </c>
    </row>
    <row r="50" spans="2:9" x14ac:dyDescent="0.3">
      <c r="B50" s="1">
        <v>46</v>
      </c>
      <c r="C50" s="1" t="s">
        <v>117</v>
      </c>
      <c r="D50" s="1" t="s">
        <v>118</v>
      </c>
      <c r="F50" s="1" t="s">
        <v>24</v>
      </c>
      <c r="G50" s="1" t="s">
        <v>502</v>
      </c>
      <c r="H50" s="12" t="b">
        <v>0</v>
      </c>
      <c r="I50" s="1">
        <v>3</v>
      </c>
    </row>
    <row r="51" spans="2:9" x14ac:dyDescent="0.3">
      <c r="B51" s="1">
        <v>47</v>
      </c>
      <c r="C51" s="1" t="s">
        <v>509</v>
      </c>
      <c r="G51" s="1" t="s">
        <v>510</v>
      </c>
      <c r="H51" s="12" t="b">
        <v>1</v>
      </c>
      <c r="I51" s="1">
        <v>3</v>
      </c>
    </row>
    <row r="52" spans="2:9" x14ac:dyDescent="0.3">
      <c r="B52" s="1">
        <v>48</v>
      </c>
      <c r="C52" s="1" t="s">
        <v>53</v>
      </c>
      <c r="D52" s="1" t="s">
        <v>54</v>
      </c>
      <c r="F52" s="1" t="s">
        <v>24</v>
      </c>
      <c r="G52" s="1" t="s">
        <v>55</v>
      </c>
      <c r="H52" s="12" t="b">
        <v>0</v>
      </c>
      <c r="I52" s="1">
        <v>3</v>
      </c>
    </row>
    <row r="53" spans="2:9" x14ac:dyDescent="0.3">
      <c r="B53" s="1">
        <v>49</v>
      </c>
      <c r="C53" s="1" t="s">
        <v>591</v>
      </c>
      <c r="D53" s="1" t="s">
        <v>515</v>
      </c>
      <c r="F53" s="1" t="s">
        <v>24</v>
      </c>
      <c r="G53" s="1" t="s">
        <v>516</v>
      </c>
      <c r="H53" s="12" t="b">
        <v>0</v>
      </c>
      <c r="I53" s="1">
        <v>3</v>
      </c>
    </row>
    <row r="54" spans="2:9" x14ac:dyDescent="0.3">
      <c r="B54" s="1">
        <v>50</v>
      </c>
      <c r="C54" s="1" t="s">
        <v>100</v>
      </c>
      <c r="D54" s="1" t="s">
        <v>101</v>
      </c>
      <c r="F54" s="1" t="s">
        <v>24</v>
      </c>
      <c r="G54" s="1" t="s">
        <v>102</v>
      </c>
      <c r="H54" s="12" t="b">
        <v>0</v>
      </c>
      <c r="I54" s="1">
        <v>3</v>
      </c>
    </row>
    <row r="55" spans="2:9" x14ac:dyDescent="0.3">
      <c r="B55" s="1">
        <v>51</v>
      </c>
      <c r="C55" s="1" t="s">
        <v>103</v>
      </c>
      <c r="D55" s="1" t="s">
        <v>104</v>
      </c>
      <c r="F55" s="1" t="s">
        <v>105</v>
      </c>
      <c r="G55" s="1" t="s">
        <v>106</v>
      </c>
      <c r="H55" s="12" t="b">
        <v>0</v>
      </c>
      <c r="I55" s="1">
        <v>3</v>
      </c>
    </row>
    <row r="56" spans="2:9" x14ac:dyDescent="0.3">
      <c r="B56" s="1">
        <v>52</v>
      </c>
      <c r="C56" s="16" t="s">
        <v>517</v>
      </c>
      <c r="D56" s="1" t="s">
        <v>518</v>
      </c>
      <c r="F56" s="1" t="s">
        <v>24</v>
      </c>
      <c r="G56" s="1" t="s">
        <v>519</v>
      </c>
      <c r="H56" s="12" t="b">
        <v>0</v>
      </c>
      <c r="I56" s="1">
        <v>1</v>
      </c>
    </row>
    <row r="57" spans="2:9" x14ac:dyDescent="0.3">
      <c r="B57" s="1">
        <v>53</v>
      </c>
      <c r="C57" s="1" t="s">
        <v>520</v>
      </c>
      <c r="D57" s="1" t="s">
        <v>521</v>
      </c>
      <c r="F57" s="1" t="s">
        <v>24</v>
      </c>
      <c r="G57" s="1" t="s">
        <v>522</v>
      </c>
      <c r="H57" s="12" t="b">
        <v>0</v>
      </c>
      <c r="I57" s="1">
        <v>3</v>
      </c>
    </row>
    <row r="58" spans="2:9" x14ac:dyDescent="0.3">
      <c r="B58" s="1">
        <v>54</v>
      </c>
      <c r="C58" s="1" t="s">
        <v>677</v>
      </c>
      <c r="D58" s="1" t="s">
        <v>678</v>
      </c>
      <c r="E58" s="17"/>
      <c r="F58" s="1" t="s">
        <v>24</v>
      </c>
      <c r="G58" s="1" t="s">
        <v>679</v>
      </c>
      <c r="H58" s="12" t="b">
        <v>0</v>
      </c>
      <c r="I58" s="1">
        <v>13</v>
      </c>
    </row>
    <row r="59" spans="2:9" x14ac:dyDescent="0.3">
      <c r="B59" s="1">
        <v>55</v>
      </c>
      <c r="C59" s="1" t="s">
        <v>68</v>
      </c>
      <c r="D59" s="1" t="s">
        <v>69</v>
      </c>
      <c r="F59" s="1" t="s">
        <v>24</v>
      </c>
      <c r="G59" s="1" t="s">
        <v>638</v>
      </c>
      <c r="H59" s="12" t="b">
        <v>0</v>
      </c>
      <c r="I59" s="1">
        <v>9</v>
      </c>
    </row>
    <row r="60" spans="2:9" x14ac:dyDescent="0.3">
      <c r="B60" s="1">
        <v>56</v>
      </c>
      <c r="C60" s="1" t="s">
        <v>523</v>
      </c>
      <c r="D60" s="1" t="s">
        <v>524</v>
      </c>
      <c r="F60" s="1" t="s">
        <v>24</v>
      </c>
      <c r="G60" s="1" t="s">
        <v>525</v>
      </c>
      <c r="H60" s="12" t="b">
        <v>0</v>
      </c>
      <c r="I60" s="1">
        <v>3</v>
      </c>
    </row>
    <row r="61" spans="2:9" x14ac:dyDescent="0.3">
      <c r="B61" s="1">
        <v>57</v>
      </c>
      <c r="C61" s="1" t="s">
        <v>640</v>
      </c>
      <c r="E61" s="1" t="s">
        <v>641</v>
      </c>
      <c r="F61" s="1" t="s">
        <v>24</v>
      </c>
      <c r="G61" s="1" t="s">
        <v>642</v>
      </c>
      <c r="H61" s="12" t="b">
        <v>0</v>
      </c>
      <c r="I61" s="1">
        <v>9</v>
      </c>
    </row>
    <row r="62" spans="2:9" x14ac:dyDescent="0.3">
      <c r="B62" s="1">
        <v>58</v>
      </c>
      <c r="C62" s="1" t="s">
        <v>639</v>
      </c>
      <c r="F62" s="1" t="s">
        <v>24</v>
      </c>
      <c r="G62" s="1" t="s">
        <v>643</v>
      </c>
      <c r="H62" s="12" t="b">
        <v>1</v>
      </c>
      <c r="I62" s="1">
        <v>9</v>
      </c>
    </row>
    <row r="63" spans="2:9" x14ac:dyDescent="0.3">
      <c r="B63" s="1">
        <v>59</v>
      </c>
      <c r="C63" s="1" t="s">
        <v>530</v>
      </c>
      <c r="D63" s="1" t="s">
        <v>531</v>
      </c>
      <c r="F63" s="1" t="s">
        <v>24</v>
      </c>
      <c r="G63" s="1" t="s">
        <v>532</v>
      </c>
      <c r="H63" s="12" t="b">
        <v>0</v>
      </c>
      <c r="I63" s="1">
        <v>4</v>
      </c>
    </row>
    <row r="64" spans="2:9" x14ac:dyDescent="0.3">
      <c r="B64" s="1">
        <v>60</v>
      </c>
      <c r="C64" s="1" t="s">
        <v>677</v>
      </c>
      <c r="D64" s="1" t="s">
        <v>678</v>
      </c>
      <c r="E64" s="17"/>
      <c r="F64" s="1" t="s">
        <v>24</v>
      </c>
      <c r="G64" s="1" t="s">
        <v>679</v>
      </c>
      <c r="H64" s="12" t="b">
        <v>0</v>
      </c>
      <c r="I64" s="1">
        <v>13</v>
      </c>
    </row>
    <row r="65" spans="2:9" x14ac:dyDescent="0.3">
      <c r="B65" s="1">
        <v>61</v>
      </c>
      <c r="C65" s="1" t="s">
        <v>540</v>
      </c>
      <c r="D65" s="1" t="s">
        <v>541</v>
      </c>
      <c r="F65" s="1" t="s">
        <v>24</v>
      </c>
      <c r="G65" s="1" t="s">
        <v>542</v>
      </c>
      <c r="H65" s="12" t="b">
        <v>0</v>
      </c>
      <c r="I65" s="1">
        <v>5</v>
      </c>
    </row>
    <row r="66" spans="2:9" x14ac:dyDescent="0.3">
      <c r="B66" s="1">
        <v>62</v>
      </c>
      <c r="C66" s="1" t="s">
        <v>114</v>
      </c>
      <c r="D66" s="1" t="s">
        <v>115</v>
      </c>
      <c r="F66" s="1" t="s">
        <v>24</v>
      </c>
      <c r="G66" s="1" t="s">
        <v>116</v>
      </c>
      <c r="H66" s="12" t="b">
        <v>0</v>
      </c>
      <c r="I66" s="1">
        <v>9</v>
      </c>
    </row>
    <row r="67" spans="2:9" x14ac:dyDescent="0.3">
      <c r="B67" s="1">
        <v>63</v>
      </c>
      <c r="C67" s="1" t="s">
        <v>114</v>
      </c>
      <c r="D67" s="1" t="s">
        <v>115</v>
      </c>
      <c r="F67" s="1" t="s">
        <v>24</v>
      </c>
      <c r="G67" s="1" t="s">
        <v>116</v>
      </c>
      <c r="H67" s="12" t="b">
        <v>0</v>
      </c>
      <c r="I67" s="1">
        <v>9</v>
      </c>
    </row>
    <row r="68" spans="2:9" x14ac:dyDescent="0.3">
      <c r="B68" s="1">
        <v>64</v>
      </c>
      <c r="C68" s="1" t="s">
        <v>646</v>
      </c>
      <c r="D68" s="1" t="s">
        <v>534</v>
      </c>
      <c r="F68" s="1" t="s">
        <v>533</v>
      </c>
      <c r="G68" s="1" t="s">
        <v>647</v>
      </c>
      <c r="H68" s="12" t="b">
        <v>0</v>
      </c>
      <c r="I68" s="1">
        <v>9</v>
      </c>
    </row>
    <row r="69" spans="2:9" x14ac:dyDescent="0.3">
      <c r="B69" s="1">
        <v>65</v>
      </c>
      <c r="C69" s="1" t="s">
        <v>648</v>
      </c>
      <c r="D69" s="1" t="s">
        <v>649</v>
      </c>
      <c r="F69" s="1" t="s">
        <v>533</v>
      </c>
      <c r="G69" s="1" t="s">
        <v>650</v>
      </c>
      <c r="H69" s="12" t="b">
        <v>0</v>
      </c>
      <c r="I69" s="1">
        <v>9</v>
      </c>
    </row>
    <row r="70" spans="2:9" x14ac:dyDescent="0.3">
      <c r="B70" s="1">
        <v>66</v>
      </c>
      <c r="C70" s="1" t="s">
        <v>56</v>
      </c>
      <c r="D70" s="1" t="s">
        <v>57</v>
      </c>
      <c r="F70" s="1" t="s">
        <v>33</v>
      </c>
      <c r="G70" s="1" t="s">
        <v>58</v>
      </c>
      <c r="H70" s="12" t="b">
        <v>0</v>
      </c>
      <c r="I70" s="1">
        <v>4</v>
      </c>
    </row>
    <row r="71" spans="2:9" x14ac:dyDescent="0.3">
      <c r="B71" s="1">
        <v>67</v>
      </c>
      <c r="C71" s="1" t="s">
        <v>103</v>
      </c>
      <c r="D71" s="1" t="s">
        <v>104</v>
      </c>
      <c r="F71" s="1" t="s">
        <v>105</v>
      </c>
      <c r="G71" s="1" t="s">
        <v>106</v>
      </c>
      <c r="H71" s="12" t="b">
        <v>0</v>
      </c>
      <c r="I71" s="1">
        <v>4</v>
      </c>
    </row>
    <row r="72" spans="2:9" x14ac:dyDescent="0.3">
      <c r="B72" s="1">
        <v>68</v>
      </c>
      <c r="C72" s="16" t="s">
        <v>535</v>
      </c>
      <c r="D72" s="1" t="s">
        <v>536</v>
      </c>
      <c r="F72" s="1" t="s">
        <v>24</v>
      </c>
      <c r="G72" s="1" t="s">
        <v>537</v>
      </c>
      <c r="H72" s="12" t="b">
        <v>0</v>
      </c>
      <c r="I72" s="1">
        <v>1</v>
      </c>
    </row>
    <row r="73" spans="2:9" x14ac:dyDescent="0.3">
      <c r="B73" s="1">
        <v>69</v>
      </c>
      <c r="C73" s="1" t="s">
        <v>520</v>
      </c>
      <c r="D73" s="1" t="s">
        <v>521</v>
      </c>
      <c r="F73" s="1" t="s">
        <v>24</v>
      </c>
      <c r="G73" s="1" t="s">
        <v>522</v>
      </c>
      <c r="H73" s="12" t="b">
        <v>0</v>
      </c>
      <c r="I73" s="1">
        <v>5</v>
      </c>
    </row>
    <row r="74" spans="2:9" x14ac:dyDescent="0.3">
      <c r="B74" s="1">
        <v>70</v>
      </c>
      <c r="C74" s="1" t="s">
        <v>677</v>
      </c>
      <c r="D74" s="1" t="s">
        <v>678</v>
      </c>
      <c r="E74" s="17"/>
      <c r="F74" s="1" t="s">
        <v>24</v>
      </c>
      <c r="G74" s="1" t="s">
        <v>679</v>
      </c>
      <c r="H74" s="12" t="b">
        <v>0</v>
      </c>
      <c r="I74" s="1">
        <v>13</v>
      </c>
    </row>
    <row r="75" spans="2:9" x14ac:dyDescent="0.3">
      <c r="B75" s="1">
        <v>71</v>
      </c>
      <c r="C75" s="1" t="s">
        <v>570</v>
      </c>
      <c r="D75" s="1" t="s">
        <v>571</v>
      </c>
      <c r="F75" s="1" t="s">
        <v>33</v>
      </c>
      <c r="G75" s="1" t="s">
        <v>61</v>
      </c>
      <c r="H75" s="12" t="b">
        <v>0</v>
      </c>
      <c r="I75" s="1">
        <v>6</v>
      </c>
    </row>
    <row r="76" spans="2:9" x14ac:dyDescent="0.3">
      <c r="B76" s="1">
        <v>72</v>
      </c>
      <c r="C76" s="1" t="s">
        <v>523</v>
      </c>
      <c r="D76" s="1" t="s">
        <v>524</v>
      </c>
      <c r="F76" s="1" t="s">
        <v>24</v>
      </c>
      <c r="G76" s="1" t="s">
        <v>525</v>
      </c>
      <c r="H76" s="12" t="b">
        <v>0</v>
      </c>
      <c r="I76" s="1">
        <v>5</v>
      </c>
    </row>
    <row r="77" spans="2:9" x14ac:dyDescent="0.3">
      <c r="B77" s="1">
        <v>73</v>
      </c>
      <c r="C77" s="1" t="s">
        <v>526</v>
      </c>
      <c r="D77" s="1" t="s">
        <v>60</v>
      </c>
      <c r="F77" s="1" t="s">
        <v>24</v>
      </c>
      <c r="G77" s="1" t="s">
        <v>527</v>
      </c>
      <c r="H77" s="12" t="b">
        <v>0</v>
      </c>
      <c r="I77" s="1">
        <v>5</v>
      </c>
    </row>
    <row r="78" spans="2:9" x14ac:dyDescent="0.3">
      <c r="B78" s="1">
        <v>74</v>
      </c>
      <c r="C78" s="1" t="s">
        <v>640</v>
      </c>
      <c r="E78" s="1" t="s">
        <v>641</v>
      </c>
      <c r="F78" s="1" t="s">
        <v>24</v>
      </c>
      <c r="G78" s="1" t="s">
        <v>642</v>
      </c>
      <c r="H78" s="12" t="b">
        <v>0</v>
      </c>
      <c r="I78" s="1">
        <v>9</v>
      </c>
    </row>
    <row r="79" spans="2:9" x14ac:dyDescent="0.3">
      <c r="B79" s="1">
        <v>75</v>
      </c>
      <c r="C79" s="1" t="s">
        <v>639</v>
      </c>
      <c r="F79" s="1" t="s">
        <v>24</v>
      </c>
      <c r="G79" s="1" t="s">
        <v>643</v>
      </c>
      <c r="H79" s="12" t="b">
        <v>1</v>
      </c>
      <c r="I79" s="1">
        <v>9</v>
      </c>
    </row>
    <row r="80" spans="2:9" ht="37.5" x14ac:dyDescent="0.3">
      <c r="B80" s="1">
        <v>76</v>
      </c>
      <c r="C80" s="1" t="s">
        <v>538</v>
      </c>
      <c r="D80" s="1" t="s">
        <v>529</v>
      </c>
      <c r="F80" s="1" t="s">
        <v>24</v>
      </c>
      <c r="G80" s="9" t="s">
        <v>539</v>
      </c>
      <c r="H80" s="12" t="b">
        <v>0</v>
      </c>
      <c r="I80" s="1">
        <v>5</v>
      </c>
    </row>
    <row r="81" spans="2:10" x14ac:dyDescent="0.3">
      <c r="B81" s="1">
        <v>77</v>
      </c>
      <c r="C81" s="1" t="s">
        <v>543</v>
      </c>
      <c r="F81" s="1" t="s">
        <v>24</v>
      </c>
      <c r="G81" s="1" t="s">
        <v>544</v>
      </c>
      <c r="H81" s="12" t="b">
        <v>0</v>
      </c>
      <c r="I81" s="1">
        <v>10</v>
      </c>
      <c r="J81" s="9"/>
    </row>
    <row r="82" spans="2:10" x14ac:dyDescent="0.3">
      <c r="B82" s="1">
        <v>78</v>
      </c>
      <c r="C82" s="1" t="s">
        <v>590</v>
      </c>
      <c r="D82" s="1" t="s">
        <v>125</v>
      </c>
      <c r="F82" s="1" t="s">
        <v>24</v>
      </c>
      <c r="G82" s="1" t="s">
        <v>126</v>
      </c>
      <c r="H82" s="12" t="b">
        <v>0</v>
      </c>
      <c r="I82" s="1">
        <v>5</v>
      </c>
    </row>
    <row r="83" spans="2:10" x14ac:dyDescent="0.3">
      <c r="B83" s="1">
        <v>79</v>
      </c>
      <c r="C83" s="1" t="s">
        <v>127</v>
      </c>
      <c r="D83" s="1" t="s">
        <v>128</v>
      </c>
      <c r="F83" s="1" t="s">
        <v>129</v>
      </c>
      <c r="G83" s="1" t="s">
        <v>130</v>
      </c>
      <c r="H83" s="12" t="b">
        <v>0</v>
      </c>
      <c r="I83" s="1">
        <v>5</v>
      </c>
    </row>
    <row r="84" spans="2:10" x14ac:dyDescent="0.3">
      <c r="B84" s="1">
        <v>80</v>
      </c>
      <c r="C84" s="1" t="s">
        <v>103</v>
      </c>
      <c r="D84" s="1" t="s">
        <v>104</v>
      </c>
      <c r="F84" s="1" t="s">
        <v>105</v>
      </c>
      <c r="G84" s="1" t="s">
        <v>106</v>
      </c>
      <c r="H84" s="12" t="b">
        <v>0</v>
      </c>
      <c r="I84" s="1">
        <v>5</v>
      </c>
    </row>
    <row r="85" spans="2:10" x14ac:dyDescent="0.3">
      <c r="B85" s="1">
        <v>81</v>
      </c>
      <c r="C85" s="16" t="s">
        <v>545</v>
      </c>
      <c r="D85" s="1" t="s">
        <v>546</v>
      </c>
      <c r="F85" s="1" t="s">
        <v>24</v>
      </c>
      <c r="G85" s="1" t="s">
        <v>547</v>
      </c>
      <c r="H85" s="12" t="b">
        <v>0</v>
      </c>
      <c r="I85" s="1">
        <v>1</v>
      </c>
    </row>
    <row r="86" spans="2:10" x14ac:dyDescent="0.3">
      <c r="B86" s="1">
        <v>82</v>
      </c>
      <c r="C86" s="1" t="s">
        <v>550</v>
      </c>
      <c r="D86" s="1" t="s">
        <v>552</v>
      </c>
      <c r="F86" s="1" t="s">
        <v>129</v>
      </c>
      <c r="G86" s="1" t="s">
        <v>553</v>
      </c>
      <c r="H86" s="12" t="b">
        <v>0</v>
      </c>
      <c r="I86" s="1">
        <v>8</v>
      </c>
    </row>
    <row r="87" spans="2:10" x14ac:dyDescent="0.3">
      <c r="B87" s="1">
        <v>83</v>
      </c>
      <c r="C87" s="1" t="s">
        <v>551</v>
      </c>
      <c r="D87" s="1" t="s">
        <v>101</v>
      </c>
      <c r="F87" s="1" t="s">
        <v>24</v>
      </c>
      <c r="G87" s="1" t="s">
        <v>554</v>
      </c>
      <c r="H87" s="12" t="b">
        <v>0</v>
      </c>
      <c r="I87" s="1">
        <v>5</v>
      </c>
    </row>
    <row r="88" spans="2:10" x14ac:dyDescent="0.3">
      <c r="B88" s="1">
        <v>84</v>
      </c>
      <c r="C88" s="1" t="s">
        <v>555</v>
      </c>
      <c r="D88" s="1" t="s">
        <v>528</v>
      </c>
      <c r="F88" s="1" t="s">
        <v>24</v>
      </c>
      <c r="G88" s="1" t="s">
        <v>556</v>
      </c>
      <c r="H88" s="12" t="b">
        <v>0</v>
      </c>
      <c r="I88" s="1">
        <v>5</v>
      </c>
    </row>
    <row r="89" spans="2:10" x14ac:dyDescent="0.3">
      <c r="B89" s="1">
        <v>85</v>
      </c>
      <c r="C89" s="1" t="s">
        <v>523</v>
      </c>
      <c r="D89" s="1" t="s">
        <v>524</v>
      </c>
      <c r="F89" s="1" t="s">
        <v>24</v>
      </c>
      <c r="G89" s="1" t="s">
        <v>525</v>
      </c>
      <c r="H89" s="12" t="b">
        <v>0</v>
      </c>
      <c r="I89" s="1">
        <v>7</v>
      </c>
    </row>
    <row r="90" spans="2:10" x14ac:dyDescent="0.3">
      <c r="B90" s="1">
        <v>86</v>
      </c>
      <c r="C90" s="1" t="s">
        <v>557</v>
      </c>
      <c r="D90" s="1" t="s">
        <v>558</v>
      </c>
      <c r="F90" s="1" t="s">
        <v>33</v>
      </c>
      <c r="G90" s="1" t="s">
        <v>559</v>
      </c>
      <c r="H90" s="12" t="b">
        <v>0</v>
      </c>
      <c r="I90" s="1">
        <v>5</v>
      </c>
    </row>
    <row r="91" spans="2:10" x14ac:dyDescent="0.3">
      <c r="B91" s="1">
        <v>87</v>
      </c>
      <c r="C91" s="1" t="s">
        <v>640</v>
      </c>
      <c r="E91" s="1" t="s">
        <v>641</v>
      </c>
      <c r="F91" s="1" t="s">
        <v>24</v>
      </c>
      <c r="G91" s="1" t="s">
        <v>642</v>
      </c>
      <c r="H91" s="12" t="b">
        <v>0</v>
      </c>
      <c r="I91" s="1">
        <v>9</v>
      </c>
    </row>
    <row r="92" spans="2:10" x14ac:dyDescent="0.3">
      <c r="B92" s="1">
        <v>88</v>
      </c>
      <c r="C92" s="1" t="s">
        <v>639</v>
      </c>
      <c r="F92" s="1" t="s">
        <v>24</v>
      </c>
      <c r="G92" s="1" t="s">
        <v>643</v>
      </c>
      <c r="H92" s="12" t="b">
        <v>1</v>
      </c>
      <c r="I92" s="1">
        <v>9</v>
      </c>
    </row>
    <row r="93" spans="2:10" x14ac:dyDescent="0.3">
      <c r="B93" s="1">
        <v>89</v>
      </c>
      <c r="C93" s="1" t="s">
        <v>557</v>
      </c>
      <c r="D93" s="1" t="s">
        <v>558</v>
      </c>
      <c r="F93" s="1" t="s">
        <v>33</v>
      </c>
      <c r="G93" s="1" t="s">
        <v>559</v>
      </c>
      <c r="H93" s="12" t="b">
        <v>0</v>
      </c>
      <c r="I93" s="1">
        <v>5</v>
      </c>
    </row>
    <row r="94" spans="2:10" x14ac:dyDescent="0.3">
      <c r="B94" s="1">
        <v>90</v>
      </c>
      <c r="C94" s="1" t="s">
        <v>560</v>
      </c>
      <c r="D94" s="1" t="s">
        <v>529</v>
      </c>
      <c r="F94" s="1" t="s">
        <v>33</v>
      </c>
      <c r="G94" s="9" t="s">
        <v>561</v>
      </c>
      <c r="H94" s="12" t="b">
        <v>0</v>
      </c>
      <c r="I94" s="1">
        <v>5</v>
      </c>
    </row>
    <row r="95" spans="2:10" x14ac:dyDescent="0.3">
      <c r="B95" s="1">
        <v>91</v>
      </c>
      <c r="C95" s="1" t="s">
        <v>548</v>
      </c>
      <c r="F95" s="1" t="s">
        <v>24</v>
      </c>
      <c r="G95" s="1" t="s">
        <v>549</v>
      </c>
      <c r="H95" s="12" t="b">
        <v>1</v>
      </c>
      <c r="I95" s="1">
        <v>5</v>
      </c>
    </row>
    <row r="96" spans="2:10" x14ac:dyDescent="0.3">
      <c r="B96" s="1">
        <v>92</v>
      </c>
      <c r="C96" s="1" t="s">
        <v>562</v>
      </c>
      <c r="F96" s="1" t="s">
        <v>24</v>
      </c>
      <c r="G96" s="1" t="s">
        <v>563</v>
      </c>
      <c r="H96" s="12" t="b">
        <v>0</v>
      </c>
      <c r="I96" s="1">
        <v>5</v>
      </c>
    </row>
    <row r="97" spans="2:9" x14ac:dyDescent="0.3">
      <c r="B97" s="1">
        <v>93</v>
      </c>
      <c r="C97" s="1" t="s">
        <v>651</v>
      </c>
      <c r="D97" s="1" t="s">
        <v>652</v>
      </c>
      <c r="F97" s="1" t="s">
        <v>24</v>
      </c>
      <c r="G97" s="1" t="s">
        <v>653</v>
      </c>
      <c r="H97" s="12" t="b">
        <v>0</v>
      </c>
      <c r="I97" s="1">
        <v>9</v>
      </c>
    </row>
    <row r="98" spans="2:9" x14ac:dyDescent="0.3">
      <c r="B98" s="1">
        <v>94</v>
      </c>
      <c r="C98" s="1" t="s">
        <v>640</v>
      </c>
      <c r="E98" s="1" t="s">
        <v>654</v>
      </c>
      <c r="F98" s="1" t="s">
        <v>24</v>
      </c>
      <c r="G98" s="1" t="s">
        <v>642</v>
      </c>
      <c r="H98" s="12" t="b">
        <v>0</v>
      </c>
      <c r="I98" s="1">
        <v>9</v>
      </c>
    </row>
    <row r="99" spans="2:9" x14ac:dyDescent="0.3">
      <c r="B99" s="1">
        <v>95</v>
      </c>
      <c r="C99" s="1" t="s">
        <v>655</v>
      </c>
      <c r="F99" s="1" t="s">
        <v>24</v>
      </c>
      <c r="G99" s="1" t="s">
        <v>656</v>
      </c>
      <c r="H99" s="12" t="b">
        <v>1</v>
      </c>
      <c r="I99" s="1">
        <v>9</v>
      </c>
    </row>
    <row r="100" spans="2:9" x14ac:dyDescent="0.3">
      <c r="B100" s="1">
        <v>96</v>
      </c>
      <c r="C100" s="1" t="s">
        <v>562</v>
      </c>
      <c r="F100" s="1" t="s">
        <v>24</v>
      </c>
      <c r="G100" s="1" t="s">
        <v>563</v>
      </c>
      <c r="H100" s="12" t="b">
        <v>0</v>
      </c>
      <c r="I100" s="1">
        <v>5</v>
      </c>
    </row>
    <row r="101" spans="2:9" x14ac:dyDescent="0.3">
      <c r="B101" s="1">
        <v>97</v>
      </c>
      <c r="C101" s="1" t="s">
        <v>564</v>
      </c>
      <c r="F101" s="1" t="s">
        <v>24</v>
      </c>
      <c r="G101" s="1" t="s">
        <v>580</v>
      </c>
      <c r="H101" s="12" t="b">
        <v>0</v>
      </c>
      <c r="I101" s="1">
        <v>7</v>
      </c>
    </row>
    <row r="102" spans="2:9" x14ac:dyDescent="0.3">
      <c r="B102" s="1">
        <v>98</v>
      </c>
      <c r="C102" s="1" t="s">
        <v>640</v>
      </c>
      <c r="E102" s="1" t="s">
        <v>644</v>
      </c>
      <c r="F102" s="1" t="s">
        <v>24</v>
      </c>
      <c r="G102" s="1" t="s">
        <v>642</v>
      </c>
      <c r="H102" s="12" t="b">
        <v>0</v>
      </c>
      <c r="I102" s="1">
        <v>9</v>
      </c>
    </row>
    <row r="103" spans="2:9" x14ac:dyDescent="0.3">
      <c r="B103" s="1">
        <v>99</v>
      </c>
      <c r="C103" s="9" t="s">
        <v>645</v>
      </c>
      <c r="F103" s="1" t="s">
        <v>24</v>
      </c>
      <c r="G103" s="1" t="s">
        <v>657</v>
      </c>
      <c r="H103" s="12" t="b">
        <v>1</v>
      </c>
      <c r="I103" s="1">
        <v>9</v>
      </c>
    </row>
    <row r="104" spans="2:9" x14ac:dyDescent="0.3">
      <c r="B104" s="1">
        <v>100</v>
      </c>
      <c r="C104" s="1" t="s">
        <v>565</v>
      </c>
      <c r="D104" s="1" t="s">
        <v>566</v>
      </c>
      <c r="F104" s="1" t="s">
        <v>24</v>
      </c>
      <c r="G104" s="1" t="s">
        <v>567</v>
      </c>
      <c r="H104" s="12" t="b">
        <v>0</v>
      </c>
      <c r="I104" s="1">
        <v>7</v>
      </c>
    </row>
    <row r="105" spans="2:9" x14ac:dyDescent="0.3">
      <c r="B105" s="1">
        <v>101</v>
      </c>
      <c r="C105" s="1" t="s">
        <v>557</v>
      </c>
      <c r="D105" s="1" t="s">
        <v>558</v>
      </c>
      <c r="F105" s="1" t="s">
        <v>33</v>
      </c>
      <c r="G105" s="1" t="s">
        <v>559</v>
      </c>
      <c r="H105" s="12" t="b">
        <v>0</v>
      </c>
      <c r="I105" s="1">
        <v>7</v>
      </c>
    </row>
    <row r="106" spans="2:9" x14ac:dyDescent="0.3">
      <c r="B106" s="1">
        <v>102</v>
      </c>
      <c r="C106" s="1" t="s">
        <v>575</v>
      </c>
      <c r="F106" s="1" t="s">
        <v>24</v>
      </c>
      <c r="G106" s="1" t="s">
        <v>576</v>
      </c>
      <c r="H106" s="12" t="b">
        <v>1</v>
      </c>
      <c r="I106" s="1">
        <v>7</v>
      </c>
    </row>
    <row r="107" spans="2:9" x14ac:dyDescent="0.3">
      <c r="B107" s="1">
        <v>103</v>
      </c>
      <c r="C107" s="1" t="s">
        <v>562</v>
      </c>
      <c r="F107" s="1" t="s">
        <v>24</v>
      </c>
      <c r="G107" s="1" t="s">
        <v>563</v>
      </c>
      <c r="H107" s="12" t="b">
        <v>0</v>
      </c>
      <c r="I107" s="1">
        <v>7</v>
      </c>
    </row>
    <row r="108" spans="2:9" x14ac:dyDescent="0.3">
      <c r="B108" s="1">
        <v>104</v>
      </c>
      <c r="C108" s="1" t="s">
        <v>40</v>
      </c>
      <c r="D108" s="1" t="s">
        <v>41</v>
      </c>
      <c r="F108" s="1" t="s">
        <v>24</v>
      </c>
      <c r="G108" s="1" t="s">
        <v>42</v>
      </c>
      <c r="H108" s="12" t="b">
        <v>0</v>
      </c>
      <c r="I108" s="1">
        <v>7</v>
      </c>
    </row>
    <row r="109" spans="2:9" x14ac:dyDescent="0.3">
      <c r="B109" s="1">
        <v>105</v>
      </c>
      <c r="C109" s="1" t="s">
        <v>579</v>
      </c>
      <c r="F109" s="1" t="s">
        <v>24</v>
      </c>
      <c r="G109" s="1" t="s">
        <v>596</v>
      </c>
      <c r="H109" s="12" t="b">
        <v>1</v>
      </c>
      <c r="I109" s="1">
        <v>7</v>
      </c>
    </row>
    <row r="110" spans="2:9" x14ac:dyDescent="0.3">
      <c r="B110" s="1">
        <v>106</v>
      </c>
      <c r="C110" s="1" t="s">
        <v>562</v>
      </c>
      <c r="F110" s="1" t="s">
        <v>24</v>
      </c>
      <c r="G110" s="1" t="s">
        <v>563</v>
      </c>
      <c r="H110" s="12" t="b">
        <v>0</v>
      </c>
      <c r="I110" s="1">
        <v>7</v>
      </c>
    </row>
    <row r="111" spans="2:9" x14ac:dyDescent="0.3">
      <c r="B111" s="1">
        <v>107</v>
      </c>
      <c r="C111" s="1" t="s">
        <v>564</v>
      </c>
      <c r="F111" s="1" t="s">
        <v>24</v>
      </c>
      <c r="G111" s="1" t="s">
        <v>580</v>
      </c>
      <c r="H111" s="12" t="b">
        <v>0</v>
      </c>
      <c r="I111" s="1">
        <v>7</v>
      </c>
    </row>
    <row r="112" spans="2:9" x14ac:dyDescent="0.3">
      <c r="B112" s="1">
        <v>108</v>
      </c>
      <c r="C112" s="1" t="s">
        <v>581</v>
      </c>
      <c r="D112" s="1" t="s">
        <v>582</v>
      </c>
      <c r="F112" s="1" t="s">
        <v>24</v>
      </c>
      <c r="G112" s="1" t="s">
        <v>583</v>
      </c>
      <c r="H112" s="12" t="b">
        <v>0</v>
      </c>
      <c r="I112" s="1">
        <v>7</v>
      </c>
    </row>
    <row r="113" spans="2:10" x14ac:dyDescent="0.3">
      <c r="B113" s="1">
        <v>109</v>
      </c>
      <c r="C113" s="1" t="s">
        <v>584</v>
      </c>
      <c r="D113" s="1" t="s">
        <v>585</v>
      </c>
      <c r="F113" s="1" t="s">
        <v>24</v>
      </c>
      <c r="G113" s="1" t="s">
        <v>586</v>
      </c>
      <c r="H113" s="12" t="b">
        <v>0</v>
      </c>
      <c r="I113" s="1">
        <v>7</v>
      </c>
    </row>
    <row r="114" spans="2:10" x14ac:dyDescent="0.3">
      <c r="B114" s="1">
        <v>110</v>
      </c>
      <c r="C114" s="1" t="s">
        <v>587</v>
      </c>
      <c r="D114" s="1" t="s">
        <v>588</v>
      </c>
      <c r="F114" s="1" t="s">
        <v>24</v>
      </c>
      <c r="G114" s="1" t="s">
        <v>589</v>
      </c>
      <c r="H114" s="12" t="b">
        <v>0</v>
      </c>
      <c r="I114" s="1">
        <v>7</v>
      </c>
    </row>
    <row r="115" spans="2:10" x14ac:dyDescent="0.3">
      <c r="B115" s="1">
        <v>111</v>
      </c>
      <c r="C115" s="1" t="s">
        <v>592</v>
      </c>
      <c r="D115" s="1" t="s">
        <v>593</v>
      </c>
      <c r="F115" s="1" t="s">
        <v>24</v>
      </c>
      <c r="G115" s="1" t="s">
        <v>594</v>
      </c>
      <c r="H115" s="12" t="b">
        <v>0</v>
      </c>
      <c r="I115" s="1">
        <v>7</v>
      </c>
    </row>
    <row r="116" spans="2:10" x14ac:dyDescent="0.3">
      <c r="B116" s="1">
        <v>112</v>
      </c>
      <c r="C116" s="1" t="s">
        <v>605</v>
      </c>
      <c r="D116" s="1" t="s">
        <v>606</v>
      </c>
      <c r="F116" s="1" t="s">
        <v>24</v>
      </c>
      <c r="G116" s="1" t="s">
        <v>607</v>
      </c>
      <c r="H116" s="12" t="b">
        <v>0</v>
      </c>
      <c r="I116" s="1">
        <v>8</v>
      </c>
    </row>
    <row r="117" spans="2:10" x14ac:dyDescent="0.3">
      <c r="B117" s="1">
        <v>113</v>
      </c>
      <c r="C117" s="1" t="s">
        <v>577</v>
      </c>
      <c r="D117" s="1" t="s">
        <v>578</v>
      </c>
      <c r="F117" s="1" t="s">
        <v>33</v>
      </c>
      <c r="G117" s="1" t="s">
        <v>595</v>
      </c>
      <c r="H117" s="12" t="b">
        <v>0</v>
      </c>
      <c r="I117" s="1">
        <v>7</v>
      </c>
    </row>
    <row r="118" spans="2:10" x14ac:dyDescent="0.3">
      <c r="B118" s="1">
        <v>114</v>
      </c>
      <c r="C118" s="1" t="s">
        <v>590</v>
      </c>
      <c r="D118" s="1" t="s">
        <v>125</v>
      </c>
      <c r="F118" s="1" t="s">
        <v>24</v>
      </c>
      <c r="G118" s="1" t="s">
        <v>126</v>
      </c>
      <c r="H118" s="12" t="b">
        <v>0</v>
      </c>
      <c r="I118" s="1">
        <v>7</v>
      </c>
    </row>
    <row r="119" spans="2:10" x14ac:dyDescent="0.3">
      <c r="B119" s="1">
        <v>115</v>
      </c>
      <c r="C119" s="1" t="s">
        <v>127</v>
      </c>
      <c r="D119" s="1" t="s">
        <v>128</v>
      </c>
      <c r="F119" s="1" t="s">
        <v>129</v>
      </c>
      <c r="G119" s="1" t="s">
        <v>130</v>
      </c>
      <c r="H119" s="12" t="b">
        <v>0</v>
      </c>
      <c r="I119" s="1">
        <v>7</v>
      </c>
    </row>
    <row r="120" spans="2:10" x14ac:dyDescent="0.3">
      <c r="B120" s="1">
        <v>116</v>
      </c>
      <c r="C120" s="1" t="s">
        <v>80</v>
      </c>
      <c r="D120" s="1" t="s">
        <v>81</v>
      </c>
      <c r="F120" s="1" t="s">
        <v>24</v>
      </c>
      <c r="G120" s="1" t="s">
        <v>82</v>
      </c>
      <c r="H120" s="12" t="b">
        <v>0</v>
      </c>
      <c r="I120" s="1">
        <v>7</v>
      </c>
    </row>
    <row r="121" spans="2:10" x14ac:dyDescent="0.3">
      <c r="B121" s="1">
        <v>117</v>
      </c>
      <c r="C121" s="1" t="s">
        <v>990</v>
      </c>
      <c r="D121" s="1" t="s">
        <v>991</v>
      </c>
      <c r="F121" s="1" t="s">
        <v>129</v>
      </c>
      <c r="G121" s="1" t="s">
        <v>992</v>
      </c>
      <c r="H121" s="12" t="b">
        <v>0</v>
      </c>
      <c r="I121" s="1">
        <v>14</v>
      </c>
      <c r="J121" s="1" t="s">
        <v>993</v>
      </c>
    </row>
    <row r="122" spans="2:10" x14ac:dyDescent="0.3">
      <c r="B122" s="1">
        <v>118</v>
      </c>
      <c r="C122" s="1" t="s">
        <v>602</v>
      </c>
      <c r="D122" s="1" t="s">
        <v>603</v>
      </c>
      <c r="F122" s="1" t="s">
        <v>24</v>
      </c>
      <c r="G122" s="1" t="s">
        <v>604</v>
      </c>
      <c r="H122" s="12" t="b">
        <v>0</v>
      </c>
      <c r="I122" s="1">
        <v>1</v>
      </c>
    </row>
    <row r="123" spans="2:10" x14ac:dyDescent="0.3">
      <c r="B123" s="1">
        <v>119</v>
      </c>
      <c r="C123" s="16" t="s">
        <v>110</v>
      </c>
      <c r="D123" s="1" t="s">
        <v>111</v>
      </c>
      <c r="E123" s="1" t="s">
        <v>112</v>
      </c>
      <c r="F123" s="1" t="s">
        <v>24</v>
      </c>
      <c r="G123" s="1" t="s">
        <v>113</v>
      </c>
      <c r="H123" s="12" t="b">
        <v>0</v>
      </c>
      <c r="I123" s="1">
        <v>8</v>
      </c>
    </row>
    <row r="124" spans="2:10" x14ac:dyDescent="0.3">
      <c r="B124" s="1">
        <v>120</v>
      </c>
      <c r="C124" s="1" t="s">
        <v>507</v>
      </c>
      <c r="G124" s="1" t="s">
        <v>508</v>
      </c>
      <c r="H124" s="12" t="b">
        <v>1</v>
      </c>
      <c r="I124" s="1">
        <v>8</v>
      </c>
    </row>
    <row r="125" spans="2:10" x14ac:dyDescent="0.3">
      <c r="B125" s="1">
        <v>121</v>
      </c>
      <c r="C125" s="1" t="s">
        <v>602</v>
      </c>
      <c r="D125" s="1" t="s">
        <v>603</v>
      </c>
      <c r="F125" s="1" t="s">
        <v>24</v>
      </c>
      <c r="G125" s="1" t="s">
        <v>604</v>
      </c>
      <c r="H125" s="12" t="b">
        <v>0</v>
      </c>
      <c r="I125" s="1">
        <v>8</v>
      </c>
    </row>
    <row r="126" spans="2:10" x14ac:dyDescent="0.3">
      <c r="B126" s="1">
        <v>122</v>
      </c>
      <c r="C126" s="1" t="s">
        <v>550</v>
      </c>
      <c r="D126" s="1" t="s">
        <v>552</v>
      </c>
      <c r="F126" s="1" t="s">
        <v>129</v>
      </c>
      <c r="G126" s="1" t="s">
        <v>553</v>
      </c>
      <c r="H126" s="12" t="b">
        <v>0</v>
      </c>
      <c r="I126" s="1">
        <v>8</v>
      </c>
    </row>
    <row r="127" spans="2:10" x14ac:dyDescent="0.3">
      <c r="B127" s="1">
        <v>123</v>
      </c>
      <c r="C127" s="1" t="s">
        <v>551</v>
      </c>
      <c r="D127" s="1" t="s">
        <v>101</v>
      </c>
      <c r="F127" s="1" t="s">
        <v>24</v>
      </c>
      <c r="G127" s="1" t="s">
        <v>554</v>
      </c>
      <c r="H127" s="12" t="b">
        <v>0</v>
      </c>
      <c r="I127" s="1">
        <v>8</v>
      </c>
    </row>
    <row r="128" spans="2:10" x14ac:dyDescent="0.3">
      <c r="B128" s="1">
        <v>124</v>
      </c>
      <c r="C128" s="1" t="s">
        <v>555</v>
      </c>
      <c r="D128" s="1" t="s">
        <v>528</v>
      </c>
      <c r="F128" s="1" t="s">
        <v>24</v>
      </c>
      <c r="G128" s="1" t="s">
        <v>608</v>
      </c>
      <c r="H128" s="12" t="b">
        <v>0</v>
      </c>
      <c r="I128" s="1">
        <v>8</v>
      </c>
    </row>
    <row r="129" spans="2:9" x14ac:dyDescent="0.3">
      <c r="B129" s="1">
        <v>125</v>
      </c>
      <c r="C129" s="1" t="s">
        <v>609</v>
      </c>
      <c r="D129" s="1" t="s">
        <v>610</v>
      </c>
      <c r="F129" s="1" t="s">
        <v>24</v>
      </c>
      <c r="G129" s="1" t="s">
        <v>611</v>
      </c>
      <c r="H129" s="12" t="b">
        <v>0</v>
      </c>
      <c r="I129" s="1">
        <v>8</v>
      </c>
    </row>
    <row r="130" spans="2:9" x14ac:dyDescent="0.3">
      <c r="B130" s="1">
        <v>126</v>
      </c>
      <c r="C130" s="1" t="s">
        <v>71</v>
      </c>
      <c r="F130" s="1" t="s">
        <v>24</v>
      </c>
      <c r="G130" s="1" t="s">
        <v>72</v>
      </c>
      <c r="H130" s="12" t="b">
        <v>0</v>
      </c>
      <c r="I130" s="1">
        <v>8</v>
      </c>
    </row>
    <row r="131" spans="2:9" x14ac:dyDescent="0.3">
      <c r="B131" s="1">
        <v>127</v>
      </c>
      <c r="C131" s="1" t="s">
        <v>71</v>
      </c>
      <c r="F131" s="1" t="s">
        <v>24</v>
      </c>
      <c r="G131" s="1" t="s">
        <v>72</v>
      </c>
      <c r="H131" s="12" t="b">
        <v>0</v>
      </c>
      <c r="I131" s="1">
        <v>8</v>
      </c>
    </row>
    <row r="132" spans="2:9" x14ac:dyDescent="0.3">
      <c r="B132" s="1">
        <v>128</v>
      </c>
      <c r="C132" s="1" t="s">
        <v>555</v>
      </c>
      <c r="D132" s="1" t="s">
        <v>528</v>
      </c>
      <c r="F132" s="1" t="s">
        <v>24</v>
      </c>
      <c r="G132" s="1" t="s">
        <v>608</v>
      </c>
      <c r="H132" s="12" t="b">
        <v>0</v>
      </c>
      <c r="I132" s="1">
        <v>8</v>
      </c>
    </row>
    <row r="133" spans="2:9" x14ac:dyDescent="0.3">
      <c r="B133" s="1">
        <v>129</v>
      </c>
      <c r="C133" s="1" t="s">
        <v>612</v>
      </c>
      <c r="D133" s="1" t="s">
        <v>613</v>
      </c>
      <c r="F133" s="1" t="s">
        <v>24</v>
      </c>
      <c r="G133" s="1" t="s">
        <v>614</v>
      </c>
      <c r="H133" s="12" t="b">
        <v>0</v>
      </c>
      <c r="I133" s="1">
        <v>8</v>
      </c>
    </row>
    <row r="134" spans="2:9" x14ac:dyDescent="0.3">
      <c r="B134" s="1">
        <v>130</v>
      </c>
      <c r="C134" s="1" t="s">
        <v>618</v>
      </c>
      <c r="D134" s="1" t="s">
        <v>619</v>
      </c>
      <c r="F134" s="1" t="s">
        <v>24</v>
      </c>
      <c r="G134" s="1" t="s">
        <v>620</v>
      </c>
      <c r="H134" s="12" t="b">
        <v>0</v>
      </c>
      <c r="I134" s="1">
        <v>8</v>
      </c>
    </row>
    <row r="135" spans="2:9" x14ac:dyDescent="0.3">
      <c r="B135" s="1">
        <v>131</v>
      </c>
      <c r="C135" s="1" t="s">
        <v>615</v>
      </c>
      <c r="D135" s="1" t="s">
        <v>616</v>
      </c>
      <c r="F135" s="1" t="s">
        <v>24</v>
      </c>
      <c r="G135" s="1" t="s">
        <v>617</v>
      </c>
      <c r="H135" s="12" t="b">
        <v>0</v>
      </c>
      <c r="I135" s="1">
        <v>8</v>
      </c>
    </row>
    <row r="136" spans="2:9" x14ac:dyDescent="0.3">
      <c r="B136" s="1">
        <v>132</v>
      </c>
      <c r="C136" s="1" t="s">
        <v>625</v>
      </c>
      <c r="F136" s="1" t="s">
        <v>24</v>
      </c>
      <c r="G136" s="1" t="s">
        <v>626</v>
      </c>
      <c r="H136" s="12" t="b">
        <v>0</v>
      </c>
      <c r="I136" s="1">
        <v>8</v>
      </c>
    </row>
    <row r="137" spans="2:9" x14ac:dyDescent="0.3">
      <c r="B137" s="1">
        <v>133</v>
      </c>
      <c r="C137" s="1" t="s">
        <v>540</v>
      </c>
      <c r="D137" s="1" t="s">
        <v>541</v>
      </c>
      <c r="F137" s="1" t="s">
        <v>24</v>
      </c>
      <c r="G137" s="1" t="s">
        <v>542</v>
      </c>
      <c r="H137" s="12" t="b">
        <v>0</v>
      </c>
      <c r="I137" s="1">
        <v>8</v>
      </c>
    </row>
    <row r="138" spans="2:9" x14ac:dyDescent="0.3">
      <c r="B138" s="1">
        <v>134</v>
      </c>
      <c r="C138" s="1" t="s">
        <v>562</v>
      </c>
      <c r="F138" s="1" t="s">
        <v>24</v>
      </c>
      <c r="G138" s="1" t="s">
        <v>563</v>
      </c>
      <c r="H138" s="12" t="b">
        <v>0</v>
      </c>
      <c r="I138" s="1">
        <v>8</v>
      </c>
    </row>
    <row r="139" spans="2:9" x14ac:dyDescent="0.3">
      <c r="B139" s="1">
        <v>135</v>
      </c>
      <c r="C139" s="1" t="s">
        <v>627</v>
      </c>
      <c r="F139" s="1" t="s">
        <v>24</v>
      </c>
      <c r="G139" s="1" t="s">
        <v>628</v>
      </c>
      <c r="H139" s="12" t="b">
        <v>0</v>
      </c>
      <c r="I139" s="1">
        <v>8</v>
      </c>
    </row>
    <row r="140" spans="2:9" x14ac:dyDescent="0.3">
      <c r="B140" s="1">
        <v>136</v>
      </c>
      <c r="C140" s="1" t="s">
        <v>597</v>
      </c>
      <c r="D140" s="1" t="s">
        <v>599</v>
      </c>
      <c r="F140" s="1" t="s">
        <v>598</v>
      </c>
      <c r="G140" s="1" t="s">
        <v>601</v>
      </c>
      <c r="H140" s="12" t="b">
        <v>0</v>
      </c>
      <c r="I140" s="1">
        <v>8</v>
      </c>
    </row>
    <row r="141" spans="2:9" x14ac:dyDescent="0.3">
      <c r="B141" s="1">
        <v>137</v>
      </c>
      <c r="C141" s="1" t="s">
        <v>623</v>
      </c>
      <c r="F141" s="1" t="s">
        <v>24</v>
      </c>
      <c r="G141" s="1" t="s">
        <v>624</v>
      </c>
      <c r="H141" s="12" t="b">
        <v>0</v>
      </c>
      <c r="I141" s="1">
        <v>8</v>
      </c>
    </row>
    <row r="142" spans="2:9" x14ac:dyDescent="0.3">
      <c r="B142" s="1">
        <v>138</v>
      </c>
      <c r="C142" s="1" t="s">
        <v>71</v>
      </c>
      <c r="F142" s="1" t="s">
        <v>24</v>
      </c>
      <c r="G142" s="1" t="s">
        <v>72</v>
      </c>
      <c r="H142" s="12" t="b">
        <v>0</v>
      </c>
      <c r="I142" s="1">
        <v>8</v>
      </c>
    </row>
    <row r="143" spans="2:9" x14ac:dyDescent="0.3">
      <c r="B143" s="1">
        <v>139</v>
      </c>
      <c r="C143" s="1" t="s">
        <v>540</v>
      </c>
      <c r="D143" s="1" t="s">
        <v>541</v>
      </c>
      <c r="F143" s="1" t="s">
        <v>24</v>
      </c>
      <c r="G143" s="1" t="s">
        <v>542</v>
      </c>
      <c r="H143" s="12" t="b">
        <v>0</v>
      </c>
      <c r="I143" s="1">
        <v>8</v>
      </c>
    </row>
    <row r="144" spans="2:9" x14ac:dyDescent="0.3">
      <c r="B144" s="1">
        <v>140</v>
      </c>
      <c r="C144" s="1" t="s">
        <v>562</v>
      </c>
      <c r="F144" s="1" t="s">
        <v>24</v>
      </c>
      <c r="G144" s="1" t="s">
        <v>563</v>
      </c>
      <c r="H144" s="12" t="b">
        <v>0</v>
      </c>
      <c r="I144" s="1">
        <v>8</v>
      </c>
    </row>
    <row r="145" spans="2:14" x14ac:dyDescent="0.3">
      <c r="B145" s="1">
        <v>141</v>
      </c>
      <c r="C145" s="1" t="s">
        <v>38</v>
      </c>
      <c r="F145" s="1" t="s">
        <v>24</v>
      </c>
      <c r="G145" s="1" t="s">
        <v>39</v>
      </c>
      <c r="H145" s="12" t="b">
        <v>0</v>
      </c>
      <c r="I145" s="1">
        <v>8</v>
      </c>
    </row>
    <row r="146" spans="2:14" x14ac:dyDescent="0.3">
      <c r="B146" s="1">
        <v>142</v>
      </c>
      <c r="C146" s="1" t="s">
        <v>621</v>
      </c>
      <c r="F146" s="1" t="s">
        <v>24</v>
      </c>
      <c r="G146" s="1" t="s">
        <v>622</v>
      </c>
      <c r="H146" s="12" t="b">
        <v>1</v>
      </c>
      <c r="I146" s="1">
        <v>8</v>
      </c>
    </row>
    <row r="147" spans="2:14" x14ac:dyDescent="0.3">
      <c r="B147" s="1">
        <v>143</v>
      </c>
      <c r="C147" s="1" t="s">
        <v>557</v>
      </c>
      <c r="D147" s="1" t="s">
        <v>558</v>
      </c>
      <c r="F147" s="1" t="s">
        <v>33</v>
      </c>
      <c r="G147" s="1" t="s">
        <v>559</v>
      </c>
      <c r="H147" s="12" t="b">
        <v>0</v>
      </c>
      <c r="I147" s="1">
        <v>8</v>
      </c>
    </row>
    <row r="148" spans="2:14" x14ac:dyDescent="0.3">
      <c r="B148" s="1">
        <v>144</v>
      </c>
      <c r="C148" s="1" t="s">
        <v>640</v>
      </c>
      <c r="E148" s="1" t="s">
        <v>641</v>
      </c>
      <c r="F148" s="1" t="s">
        <v>24</v>
      </c>
      <c r="G148" s="1" t="s">
        <v>642</v>
      </c>
      <c r="H148" s="12" t="b">
        <v>0</v>
      </c>
      <c r="I148" s="1">
        <v>9</v>
      </c>
    </row>
    <row r="149" spans="2:14" x14ac:dyDescent="0.3">
      <c r="B149" s="1">
        <v>145</v>
      </c>
      <c r="C149" s="1" t="s">
        <v>639</v>
      </c>
      <c r="F149" s="1" t="s">
        <v>24</v>
      </c>
      <c r="G149" s="1" t="s">
        <v>643</v>
      </c>
      <c r="H149" s="12" t="b">
        <v>1</v>
      </c>
      <c r="I149" s="1">
        <v>9</v>
      </c>
    </row>
    <row r="150" spans="2:14" x14ac:dyDescent="0.3">
      <c r="B150" s="1">
        <v>146</v>
      </c>
      <c r="C150" s="1" t="s">
        <v>557</v>
      </c>
      <c r="D150" s="1" t="s">
        <v>558</v>
      </c>
      <c r="F150" s="1" t="s">
        <v>33</v>
      </c>
      <c r="G150" s="1" t="s">
        <v>559</v>
      </c>
      <c r="H150" s="12" t="b">
        <v>0</v>
      </c>
      <c r="I150" s="1">
        <v>8</v>
      </c>
    </row>
    <row r="151" spans="2:14" x14ac:dyDescent="0.3">
      <c r="B151" s="1">
        <v>147</v>
      </c>
      <c r="C151" s="1" t="s">
        <v>560</v>
      </c>
      <c r="D151" s="1" t="s">
        <v>529</v>
      </c>
      <c r="F151" s="1" t="s">
        <v>33</v>
      </c>
      <c r="G151" s="1" t="s">
        <v>561</v>
      </c>
      <c r="H151" s="12" t="b">
        <v>0</v>
      </c>
      <c r="I151" s="1">
        <v>8</v>
      </c>
    </row>
    <row r="152" spans="2:14" x14ac:dyDescent="0.3">
      <c r="B152" s="1">
        <v>148</v>
      </c>
      <c r="C152" s="1" t="s">
        <v>548</v>
      </c>
      <c r="F152" s="1" t="s">
        <v>24</v>
      </c>
      <c r="G152" s="9" t="s">
        <v>549</v>
      </c>
      <c r="H152" s="12" t="b">
        <v>1</v>
      </c>
      <c r="I152" s="1">
        <v>8</v>
      </c>
    </row>
    <row r="153" spans="2:14" x14ac:dyDescent="0.3">
      <c r="B153" s="1">
        <v>149</v>
      </c>
      <c r="C153" s="1" t="s">
        <v>562</v>
      </c>
      <c r="F153" s="1" t="s">
        <v>24</v>
      </c>
      <c r="G153" s="1" t="s">
        <v>563</v>
      </c>
      <c r="H153" s="12" t="b">
        <v>0</v>
      </c>
      <c r="I153" s="1">
        <v>8</v>
      </c>
    </row>
    <row r="154" spans="2:14" x14ac:dyDescent="0.3">
      <c r="B154" s="1">
        <v>150</v>
      </c>
      <c r="C154" s="1" t="s">
        <v>651</v>
      </c>
      <c r="D154" s="1" t="s">
        <v>652</v>
      </c>
      <c r="F154" s="1" t="s">
        <v>24</v>
      </c>
      <c r="G154" s="1" t="s">
        <v>653</v>
      </c>
      <c r="H154" s="12" t="b">
        <v>0</v>
      </c>
      <c r="I154" s="1">
        <v>9</v>
      </c>
    </row>
    <row r="155" spans="2:14" x14ac:dyDescent="0.3">
      <c r="B155" s="1">
        <v>151</v>
      </c>
      <c r="C155" s="1" t="s">
        <v>640</v>
      </c>
      <c r="E155" s="1" t="s">
        <v>654</v>
      </c>
      <c r="F155" s="1" t="s">
        <v>24</v>
      </c>
      <c r="G155" s="1" t="s">
        <v>642</v>
      </c>
      <c r="H155" s="12" t="b">
        <v>0</v>
      </c>
      <c r="I155" s="1">
        <v>9</v>
      </c>
    </row>
    <row r="156" spans="2:14" x14ac:dyDescent="0.3">
      <c r="B156" s="1">
        <v>152</v>
      </c>
      <c r="C156" s="1" t="s">
        <v>655</v>
      </c>
      <c r="F156" s="1" t="s">
        <v>24</v>
      </c>
      <c r="G156" s="1" t="s">
        <v>656</v>
      </c>
      <c r="H156" s="12" t="b">
        <v>1</v>
      </c>
      <c r="I156" s="1">
        <v>9</v>
      </c>
      <c r="K156" s="1" t="s">
        <v>557</v>
      </c>
      <c r="L156" s="1" t="s">
        <v>558</v>
      </c>
      <c r="N156" s="12" t="b">
        <v>0</v>
      </c>
    </row>
    <row r="157" spans="2:14" x14ac:dyDescent="0.3">
      <c r="B157" s="1">
        <v>153</v>
      </c>
      <c r="C157" s="1" t="s">
        <v>562</v>
      </c>
      <c r="F157" s="1" t="s">
        <v>24</v>
      </c>
      <c r="G157" s="1" t="s">
        <v>563</v>
      </c>
      <c r="H157" s="12" t="b">
        <v>0</v>
      </c>
      <c r="I157" s="1">
        <v>8</v>
      </c>
      <c r="K157" s="1" t="s">
        <v>672</v>
      </c>
      <c r="L157" s="1" t="s">
        <v>528</v>
      </c>
      <c r="N157" s="12" t="b">
        <v>0</v>
      </c>
    </row>
    <row r="158" spans="2:14" x14ac:dyDescent="0.3">
      <c r="B158" s="1">
        <v>154</v>
      </c>
      <c r="C158" s="1" t="s">
        <v>564</v>
      </c>
      <c r="F158" s="1" t="s">
        <v>24</v>
      </c>
      <c r="G158" s="1" t="s">
        <v>580</v>
      </c>
      <c r="H158" s="12" t="b">
        <v>0</v>
      </c>
      <c r="I158" s="1">
        <v>8</v>
      </c>
      <c r="K158" s="1" t="s">
        <v>673</v>
      </c>
      <c r="N158" s="12" t="b">
        <v>0</v>
      </c>
    </row>
    <row r="159" spans="2:14" x14ac:dyDescent="0.3">
      <c r="B159" s="1">
        <v>155</v>
      </c>
      <c r="C159" s="1" t="s">
        <v>640</v>
      </c>
      <c r="E159" s="1" t="s">
        <v>644</v>
      </c>
      <c r="F159" s="1" t="s">
        <v>24</v>
      </c>
      <c r="G159" s="1" t="s">
        <v>642</v>
      </c>
      <c r="H159" s="12" t="b">
        <v>0</v>
      </c>
      <c r="I159" s="1">
        <v>9</v>
      </c>
      <c r="K159" s="1" t="s">
        <v>623</v>
      </c>
      <c r="N159" s="12" t="b">
        <v>0</v>
      </c>
    </row>
    <row r="160" spans="2:14" x14ac:dyDescent="0.3">
      <c r="B160" s="1">
        <v>156</v>
      </c>
      <c r="C160" s="1" t="s">
        <v>645</v>
      </c>
      <c r="F160" s="1" t="s">
        <v>24</v>
      </c>
      <c r="G160" s="1" t="s">
        <v>657</v>
      </c>
      <c r="H160" s="12" t="b">
        <v>1</v>
      </c>
      <c r="I160" s="1">
        <v>9</v>
      </c>
    </row>
    <row r="161" spans="2:9" x14ac:dyDescent="0.3">
      <c r="B161" s="1">
        <v>157</v>
      </c>
      <c r="C161" s="9" t="s">
        <v>565</v>
      </c>
      <c r="D161" s="1" t="s">
        <v>566</v>
      </c>
      <c r="F161" s="1" t="s">
        <v>24</v>
      </c>
      <c r="G161" s="1" t="s">
        <v>567</v>
      </c>
      <c r="H161" s="12" t="b">
        <v>0</v>
      </c>
      <c r="I161" s="1">
        <v>8</v>
      </c>
    </row>
    <row r="162" spans="2:9" x14ac:dyDescent="0.3">
      <c r="B162" s="1">
        <v>158</v>
      </c>
      <c r="C162" s="1" t="s">
        <v>557</v>
      </c>
      <c r="D162" s="1" t="s">
        <v>558</v>
      </c>
      <c r="F162" s="1" t="s">
        <v>33</v>
      </c>
      <c r="G162" s="1" t="s">
        <v>559</v>
      </c>
      <c r="H162" s="12" t="b">
        <v>0</v>
      </c>
      <c r="I162" s="1">
        <v>8</v>
      </c>
    </row>
    <row r="163" spans="2:9" x14ac:dyDescent="0.3">
      <c r="B163" s="1">
        <v>159</v>
      </c>
      <c r="C163" s="1" t="s">
        <v>575</v>
      </c>
      <c r="F163" s="1" t="s">
        <v>24</v>
      </c>
      <c r="G163" s="1" t="s">
        <v>576</v>
      </c>
      <c r="H163" s="12" t="b">
        <v>1</v>
      </c>
      <c r="I163" s="1">
        <v>8</v>
      </c>
    </row>
    <row r="164" spans="2:9" x14ac:dyDescent="0.3">
      <c r="B164" s="1">
        <v>160</v>
      </c>
      <c r="C164" s="1" t="s">
        <v>562</v>
      </c>
      <c r="F164" s="1" t="s">
        <v>24</v>
      </c>
      <c r="G164" s="1" t="s">
        <v>563</v>
      </c>
      <c r="H164" s="12" t="b">
        <v>0</v>
      </c>
      <c r="I164" s="1">
        <v>8</v>
      </c>
    </row>
    <row r="165" spans="2:9" x14ac:dyDescent="0.3">
      <c r="B165" s="1">
        <v>161</v>
      </c>
      <c r="C165" s="1" t="s">
        <v>40</v>
      </c>
      <c r="D165" s="1" t="s">
        <v>41</v>
      </c>
      <c r="F165" s="1" t="s">
        <v>24</v>
      </c>
      <c r="G165" s="1" t="s">
        <v>42</v>
      </c>
      <c r="H165" s="12" t="b">
        <v>0</v>
      </c>
      <c r="I165" s="1">
        <v>8</v>
      </c>
    </row>
    <row r="166" spans="2:9" x14ac:dyDescent="0.3">
      <c r="B166" s="1">
        <v>162</v>
      </c>
      <c r="C166" s="1" t="s">
        <v>579</v>
      </c>
      <c r="F166" s="1" t="s">
        <v>24</v>
      </c>
      <c r="G166" s="1" t="s">
        <v>596</v>
      </c>
      <c r="H166" s="12" t="b">
        <v>1</v>
      </c>
      <c r="I166" s="1">
        <v>8</v>
      </c>
    </row>
    <row r="167" spans="2:9" x14ac:dyDescent="0.3">
      <c r="B167" s="1">
        <v>163</v>
      </c>
      <c r="C167" s="1" t="s">
        <v>562</v>
      </c>
      <c r="F167" s="1" t="s">
        <v>24</v>
      </c>
      <c r="G167" s="1" t="s">
        <v>563</v>
      </c>
      <c r="H167" s="12" t="b">
        <v>0</v>
      </c>
      <c r="I167" s="1">
        <v>8</v>
      </c>
    </row>
    <row r="168" spans="2:9" x14ac:dyDescent="0.3">
      <c r="B168" s="1">
        <v>164</v>
      </c>
      <c r="C168" s="1" t="s">
        <v>564</v>
      </c>
      <c r="F168" s="1" t="s">
        <v>24</v>
      </c>
      <c r="G168" s="1" t="s">
        <v>580</v>
      </c>
      <c r="H168" s="12" t="b">
        <v>0</v>
      </c>
      <c r="I168" s="1">
        <v>8</v>
      </c>
    </row>
    <row r="169" spans="2:9" x14ac:dyDescent="0.3">
      <c r="B169" s="1">
        <v>165</v>
      </c>
      <c r="C169" s="1" t="s">
        <v>581</v>
      </c>
      <c r="D169" s="1" t="s">
        <v>582</v>
      </c>
      <c r="F169" s="1" t="s">
        <v>24</v>
      </c>
      <c r="G169" s="1" t="s">
        <v>583</v>
      </c>
      <c r="H169" s="12" t="b">
        <v>0</v>
      </c>
      <c r="I169" s="1">
        <v>8</v>
      </c>
    </row>
    <row r="170" spans="2:9" x14ac:dyDescent="0.3">
      <c r="B170" s="1">
        <v>166</v>
      </c>
      <c r="C170" s="1" t="s">
        <v>584</v>
      </c>
      <c r="D170" s="1" t="s">
        <v>585</v>
      </c>
      <c r="F170" s="1" t="s">
        <v>24</v>
      </c>
      <c r="G170" s="1" t="s">
        <v>586</v>
      </c>
      <c r="H170" s="12" t="b">
        <v>0</v>
      </c>
      <c r="I170" s="1">
        <v>8</v>
      </c>
    </row>
    <row r="171" spans="2:9" x14ac:dyDescent="0.3">
      <c r="B171" s="1">
        <v>167</v>
      </c>
      <c r="C171" s="1" t="s">
        <v>587</v>
      </c>
      <c r="D171" s="1" t="s">
        <v>588</v>
      </c>
      <c r="F171" s="1" t="s">
        <v>24</v>
      </c>
      <c r="G171" s="1" t="s">
        <v>589</v>
      </c>
      <c r="H171" s="12" t="b">
        <v>0</v>
      </c>
      <c r="I171" s="1">
        <v>8</v>
      </c>
    </row>
    <row r="172" spans="2:9" x14ac:dyDescent="0.3">
      <c r="B172" s="1">
        <v>168</v>
      </c>
      <c r="C172" s="1" t="s">
        <v>592</v>
      </c>
      <c r="D172" s="1" t="s">
        <v>593</v>
      </c>
      <c r="F172" s="1" t="s">
        <v>24</v>
      </c>
      <c r="G172" s="1" t="s">
        <v>594</v>
      </c>
      <c r="H172" s="12" t="b">
        <v>0</v>
      </c>
      <c r="I172" s="1">
        <v>8</v>
      </c>
    </row>
    <row r="173" spans="2:9" x14ac:dyDescent="0.3">
      <c r="B173" s="1">
        <v>169</v>
      </c>
      <c r="C173" s="1" t="s">
        <v>605</v>
      </c>
      <c r="D173" s="1" t="s">
        <v>606</v>
      </c>
      <c r="F173" s="1" t="s">
        <v>24</v>
      </c>
      <c r="G173" s="1" t="s">
        <v>607</v>
      </c>
      <c r="H173" s="12" t="b">
        <v>0</v>
      </c>
      <c r="I173" s="1">
        <v>8</v>
      </c>
    </row>
    <row r="174" spans="2:9" x14ac:dyDescent="0.3">
      <c r="B174" s="1">
        <v>170</v>
      </c>
      <c r="C174" s="1" t="s">
        <v>577</v>
      </c>
      <c r="D174" s="1" t="s">
        <v>578</v>
      </c>
      <c r="F174" s="1" t="s">
        <v>33</v>
      </c>
      <c r="G174" s="1" t="s">
        <v>595</v>
      </c>
      <c r="H174" s="12" t="b">
        <v>0</v>
      </c>
      <c r="I174" s="1">
        <v>8</v>
      </c>
    </row>
    <row r="175" spans="2:9" x14ac:dyDescent="0.3">
      <c r="B175" s="1">
        <v>171</v>
      </c>
      <c r="C175" s="1" t="s">
        <v>590</v>
      </c>
      <c r="D175" s="1" t="s">
        <v>125</v>
      </c>
      <c r="F175" s="1" t="s">
        <v>24</v>
      </c>
      <c r="G175" s="1" t="s">
        <v>126</v>
      </c>
      <c r="H175" s="12" t="b">
        <v>0</v>
      </c>
      <c r="I175" s="1">
        <v>8</v>
      </c>
    </row>
    <row r="176" spans="2:9" x14ac:dyDescent="0.3">
      <c r="B176" s="1">
        <v>172</v>
      </c>
      <c r="C176" s="1" t="s">
        <v>127</v>
      </c>
      <c r="D176" s="1" t="s">
        <v>128</v>
      </c>
      <c r="F176" s="1" t="s">
        <v>129</v>
      </c>
      <c r="G176" s="1" t="s">
        <v>130</v>
      </c>
      <c r="H176" s="12" t="b">
        <v>0</v>
      </c>
      <c r="I176" s="1">
        <v>8</v>
      </c>
    </row>
    <row r="177" spans="2:10" x14ac:dyDescent="0.3">
      <c r="B177" s="1">
        <v>173</v>
      </c>
      <c r="C177" s="1" t="s">
        <v>80</v>
      </c>
      <c r="D177" s="1" t="s">
        <v>81</v>
      </c>
      <c r="F177" s="1" t="s">
        <v>24</v>
      </c>
      <c r="G177" s="1" t="s">
        <v>82</v>
      </c>
      <c r="H177" s="12" t="b">
        <v>0</v>
      </c>
      <c r="I177" s="1">
        <v>8</v>
      </c>
    </row>
    <row r="178" spans="2:10" x14ac:dyDescent="0.3">
      <c r="B178" s="1">
        <v>174</v>
      </c>
      <c r="C178" s="1" t="s">
        <v>990</v>
      </c>
      <c r="D178" s="1" t="s">
        <v>991</v>
      </c>
      <c r="F178" s="1" t="s">
        <v>129</v>
      </c>
      <c r="G178" s="1" t="s">
        <v>992</v>
      </c>
      <c r="H178" s="12" t="b">
        <v>0</v>
      </c>
      <c r="I178" s="1">
        <v>14</v>
      </c>
      <c r="J178" s="1" t="s">
        <v>993</v>
      </c>
    </row>
    <row r="179" spans="2:10" x14ac:dyDescent="0.3">
      <c r="B179" s="1">
        <v>175</v>
      </c>
      <c r="C179" s="1" t="s">
        <v>658</v>
      </c>
      <c r="D179" s="1" t="s">
        <v>659</v>
      </c>
      <c r="F179" s="1" t="s">
        <v>24</v>
      </c>
      <c r="G179" s="1" t="s">
        <v>660</v>
      </c>
      <c r="H179" s="12" t="b">
        <v>0</v>
      </c>
      <c r="I179" s="1">
        <v>9</v>
      </c>
    </row>
    <row r="180" spans="2:10" x14ac:dyDescent="0.3">
      <c r="B180" s="1">
        <v>176</v>
      </c>
      <c r="C180" s="1" t="s">
        <v>630</v>
      </c>
      <c r="F180" s="1" t="s">
        <v>24</v>
      </c>
      <c r="G180" s="1" t="s">
        <v>631</v>
      </c>
      <c r="H180" s="12" t="b">
        <v>1</v>
      </c>
      <c r="I180" s="1">
        <v>9</v>
      </c>
    </row>
    <row r="181" spans="2:10" x14ac:dyDescent="0.3">
      <c r="B181" s="1">
        <v>177</v>
      </c>
      <c r="C181" s="16" t="s">
        <v>577</v>
      </c>
      <c r="D181" s="1" t="s">
        <v>578</v>
      </c>
      <c r="F181" s="1" t="s">
        <v>33</v>
      </c>
      <c r="G181" s="1" t="s">
        <v>595</v>
      </c>
      <c r="H181" s="12" t="b">
        <v>0</v>
      </c>
      <c r="I181" s="1">
        <v>9</v>
      </c>
    </row>
    <row r="182" spans="2:10" x14ac:dyDescent="0.3">
      <c r="B182" s="1">
        <v>178</v>
      </c>
      <c r="C182" s="1" t="s">
        <v>661</v>
      </c>
      <c r="D182" s="1" t="s">
        <v>662</v>
      </c>
      <c r="F182" s="1" t="s">
        <v>24</v>
      </c>
      <c r="G182" s="1" t="s">
        <v>663</v>
      </c>
      <c r="H182" s="12" t="b">
        <v>0</v>
      </c>
      <c r="I182" s="1">
        <v>9</v>
      </c>
    </row>
    <row r="183" spans="2:10" x14ac:dyDescent="0.3">
      <c r="B183" s="1">
        <v>179</v>
      </c>
      <c r="C183" s="1" t="s">
        <v>670</v>
      </c>
      <c r="F183" s="1" t="s">
        <v>24</v>
      </c>
      <c r="G183" s="1" t="s">
        <v>671</v>
      </c>
      <c r="H183" s="12" t="b">
        <v>1</v>
      </c>
      <c r="I183" s="1">
        <v>9</v>
      </c>
    </row>
    <row r="184" spans="2:10" x14ac:dyDescent="0.3">
      <c r="B184" s="1">
        <v>180</v>
      </c>
      <c r="C184" s="16" t="s">
        <v>587</v>
      </c>
      <c r="D184" s="1" t="s">
        <v>588</v>
      </c>
      <c r="F184" s="1" t="s">
        <v>24</v>
      </c>
      <c r="G184" s="1" t="s">
        <v>589</v>
      </c>
      <c r="H184" s="12" t="b">
        <v>0</v>
      </c>
      <c r="I184" s="1">
        <v>9</v>
      </c>
    </row>
    <row r="185" spans="2:10" x14ac:dyDescent="0.3">
      <c r="B185" s="1">
        <v>181</v>
      </c>
      <c r="C185" s="1" t="s">
        <v>592</v>
      </c>
      <c r="D185" s="1" t="s">
        <v>593</v>
      </c>
      <c r="F185" s="1" t="s">
        <v>24</v>
      </c>
      <c r="G185" s="1" t="s">
        <v>594</v>
      </c>
      <c r="H185" s="12" t="b">
        <v>0</v>
      </c>
      <c r="I185" s="1">
        <v>9</v>
      </c>
    </row>
    <row r="186" spans="2:10" x14ac:dyDescent="0.3">
      <c r="B186" s="1">
        <v>182</v>
      </c>
      <c r="C186" s="1" t="s">
        <v>577</v>
      </c>
      <c r="D186" s="1" t="s">
        <v>578</v>
      </c>
      <c r="F186" s="1" t="s">
        <v>33</v>
      </c>
      <c r="G186" s="1" t="s">
        <v>595</v>
      </c>
      <c r="H186" s="12" t="b">
        <v>0</v>
      </c>
      <c r="I186" s="1">
        <v>9</v>
      </c>
    </row>
    <row r="187" spans="2:10" x14ac:dyDescent="0.3">
      <c r="B187" s="1">
        <v>183</v>
      </c>
      <c r="C187" s="1" t="s">
        <v>127</v>
      </c>
      <c r="D187" s="1" t="s">
        <v>128</v>
      </c>
      <c r="F187" s="1" t="s">
        <v>129</v>
      </c>
      <c r="G187" s="1" t="s">
        <v>130</v>
      </c>
      <c r="H187" s="12" t="b">
        <v>0</v>
      </c>
      <c r="I187" s="1">
        <v>9</v>
      </c>
    </row>
    <row r="188" spans="2:10" x14ac:dyDescent="0.3">
      <c r="B188" s="1">
        <v>184</v>
      </c>
      <c r="C188" s="1" t="s">
        <v>664</v>
      </c>
      <c r="D188" s="1" t="s">
        <v>665</v>
      </c>
      <c r="F188" s="1" t="s">
        <v>24</v>
      </c>
      <c r="G188" s="1" t="s">
        <v>666</v>
      </c>
      <c r="H188" s="12" t="b">
        <v>0</v>
      </c>
      <c r="I188" s="1">
        <v>9</v>
      </c>
    </row>
    <row r="189" spans="2:10" x14ac:dyDescent="0.3">
      <c r="B189" s="1">
        <v>185</v>
      </c>
      <c r="C189" s="1" t="s">
        <v>632</v>
      </c>
      <c r="F189" s="1" t="s">
        <v>24</v>
      </c>
      <c r="G189" s="1" t="s">
        <v>633</v>
      </c>
      <c r="H189" s="12" t="b">
        <v>1</v>
      </c>
      <c r="I189" s="1">
        <v>9</v>
      </c>
    </row>
    <row r="190" spans="2:10" x14ac:dyDescent="0.3">
      <c r="B190" s="1">
        <v>186</v>
      </c>
      <c r="C190" s="16" t="s">
        <v>577</v>
      </c>
      <c r="D190" s="1" t="s">
        <v>578</v>
      </c>
      <c r="F190" s="1" t="s">
        <v>33</v>
      </c>
      <c r="G190" s="1" t="s">
        <v>595</v>
      </c>
      <c r="H190" s="12" t="b">
        <v>0</v>
      </c>
      <c r="I190" s="1">
        <v>9</v>
      </c>
    </row>
    <row r="191" spans="2:10" x14ac:dyDescent="0.3">
      <c r="B191" s="1">
        <v>187</v>
      </c>
      <c r="C191" s="1" t="s">
        <v>667</v>
      </c>
      <c r="D191" s="1" t="s">
        <v>668</v>
      </c>
      <c r="F191" s="1" t="s">
        <v>24</v>
      </c>
      <c r="G191" s="1" t="s">
        <v>669</v>
      </c>
      <c r="H191" s="12" t="b">
        <v>0</v>
      </c>
      <c r="I191" s="1">
        <v>9</v>
      </c>
    </row>
    <row r="192" spans="2:10" x14ac:dyDescent="0.3">
      <c r="B192" s="1">
        <v>188</v>
      </c>
      <c r="C192" s="1" t="s">
        <v>517</v>
      </c>
      <c r="D192" s="1" t="s">
        <v>518</v>
      </c>
      <c r="F192" s="1" t="s">
        <v>24</v>
      </c>
      <c r="G192" s="1" t="s">
        <v>519</v>
      </c>
      <c r="H192" s="12" t="b">
        <v>0</v>
      </c>
      <c r="I192" s="1">
        <v>11</v>
      </c>
    </row>
    <row r="193" spans="2:9" x14ac:dyDescent="0.3">
      <c r="B193" s="1">
        <v>189</v>
      </c>
      <c r="C193" s="16" t="s">
        <v>530</v>
      </c>
      <c r="D193" s="1" t="s">
        <v>531</v>
      </c>
      <c r="F193" s="1" t="s">
        <v>24</v>
      </c>
      <c r="G193" s="1" t="s">
        <v>532</v>
      </c>
      <c r="H193" s="12" t="b">
        <v>0</v>
      </c>
      <c r="I193" s="1">
        <v>11</v>
      </c>
    </row>
    <row r="194" spans="2:9" x14ac:dyDescent="0.3">
      <c r="B194" s="1">
        <v>190</v>
      </c>
      <c r="C194" s="1" t="s">
        <v>38</v>
      </c>
      <c r="F194" s="1" t="s">
        <v>24</v>
      </c>
      <c r="G194" s="1" t="s">
        <v>39</v>
      </c>
      <c r="H194" s="12" t="b">
        <v>0</v>
      </c>
      <c r="I194" s="1">
        <v>11</v>
      </c>
    </row>
    <row r="195" spans="2:9" x14ac:dyDescent="0.3">
      <c r="B195" s="1">
        <v>191</v>
      </c>
      <c r="C195" s="1" t="s">
        <v>677</v>
      </c>
      <c r="D195" s="1" t="s">
        <v>678</v>
      </c>
      <c r="F195" s="1" t="s">
        <v>24</v>
      </c>
      <c r="G195" s="1" t="s">
        <v>679</v>
      </c>
      <c r="H195" s="12" t="b">
        <v>0</v>
      </c>
      <c r="I195" s="1">
        <v>11</v>
      </c>
    </row>
    <row r="196" spans="2:9" x14ac:dyDescent="0.3">
      <c r="B196" s="1">
        <v>192</v>
      </c>
      <c r="C196" s="1" t="s">
        <v>540</v>
      </c>
      <c r="D196" s="1" t="s">
        <v>541</v>
      </c>
      <c r="F196" s="1" t="s">
        <v>24</v>
      </c>
      <c r="G196" s="1" t="s">
        <v>542</v>
      </c>
      <c r="H196" s="12" t="b">
        <v>0</v>
      </c>
      <c r="I196" s="1">
        <v>11</v>
      </c>
    </row>
    <row r="197" spans="2:9" x14ac:dyDescent="0.3">
      <c r="B197" s="1">
        <v>193</v>
      </c>
      <c r="C197" s="1" t="s">
        <v>667</v>
      </c>
      <c r="D197" s="1" t="s">
        <v>668</v>
      </c>
      <c r="E197" s="17"/>
      <c r="F197" s="1" t="s">
        <v>24</v>
      </c>
      <c r="G197" s="1" t="s">
        <v>669</v>
      </c>
      <c r="H197" s="12" t="b">
        <v>0</v>
      </c>
      <c r="I197" s="1">
        <v>11</v>
      </c>
    </row>
    <row r="198" spans="2:9" x14ac:dyDescent="0.3">
      <c r="B198" s="1">
        <v>194</v>
      </c>
      <c r="C198" s="1" t="s">
        <v>693</v>
      </c>
      <c r="F198" s="1" t="s">
        <v>24</v>
      </c>
      <c r="G198" s="1" t="s">
        <v>694</v>
      </c>
      <c r="H198" s="12" t="b">
        <v>0</v>
      </c>
      <c r="I198" s="1">
        <v>11</v>
      </c>
    </row>
    <row r="199" spans="2:9" x14ac:dyDescent="0.3">
      <c r="B199" s="1">
        <v>195</v>
      </c>
      <c r="C199" s="1" t="s">
        <v>680</v>
      </c>
      <c r="D199" s="1" t="s">
        <v>681</v>
      </c>
      <c r="F199" s="1" t="s">
        <v>24</v>
      </c>
      <c r="G199" s="1" t="s">
        <v>682</v>
      </c>
      <c r="H199" s="12" t="b">
        <v>0</v>
      </c>
      <c r="I199" s="1">
        <v>11</v>
      </c>
    </row>
    <row r="200" spans="2:9" x14ac:dyDescent="0.3">
      <c r="B200" s="1">
        <v>196</v>
      </c>
      <c r="C200" s="1" t="s">
        <v>523</v>
      </c>
      <c r="D200" s="1" t="s">
        <v>524</v>
      </c>
      <c r="F200" s="1" t="s">
        <v>24</v>
      </c>
      <c r="G200" s="1" t="s">
        <v>525</v>
      </c>
      <c r="H200" s="12" t="b">
        <v>0</v>
      </c>
      <c r="I200" s="1">
        <v>11</v>
      </c>
    </row>
    <row r="201" spans="2:9" x14ac:dyDescent="0.3">
      <c r="B201" s="1">
        <v>197</v>
      </c>
      <c r="C201" s="1" t="s">
        <v>562</v>
      </c>
      <c r="F201" s="1" t="s">
        <v>24</v>
      </c>
      <c r="G201" s="1" t="s">
        <v>563</v>
      </c>
      <c r="H201" s="12" t="b">
        <v>0</v>
      </c>
      <c r="I201" s="1">
        <v>11</v>
      </c>
    </row>
    <row r="202" spans="2:9" x14ac:dyDescent="0.3">
      <c r="B202" s="1">
        <v>198</v>
      </c>
      <c r="C202" s="1" t="s">
        <v>683</v>
      </c>
      <c r="F202" s="1" t="s">
        <v>24</v>
      </c>
      <c r="G202" s="1" t="s">
        <v>684</v>
      </c>
      <c r="H202" s="12" t="b">
        <v>1</v>
      </c>
      <c r="I202" s="1">
        <v>11</v>
      </c>
    </row>
    <row r="203" spans="2:9" x14ac:dyDescent="0.3">
      <c r="B203" s="1">
        <v>199</v>
      </c>
      <c r="C203" s="1" t="s">
        <v>562</v>
      </c>
      <c r="F203" s="1" t="s">
        <v>24</v>
      </c>
      <c r="G203" s="1" t="s">
        <v>563</v>
      </c>
      <c r="H203" s="12" t="b">
        <v>0</v>
      </c>
      <c r="I203" s="1">
        <v>11</v>
      </c>
    </row>
    <row r="204" spans="2:9" x14ac:dyDescent="0.3">
      <c r="B204" s="1">
        <v>200</v>
      </c>
      <c r="C204" s="1" t="s">
        <v>685</v>
      </c>
      <c r="F204" s="1" t="s">
        <v>24</v>
      </c>
      <c r="G204" s="1" t="s">
        <v>686</v>
      </c>
      <c r="H204" s="12" t="b">
        <v>1</v>
      </c>
      <c r="I204" s="1">
        <v>11</v>
      </c>
    </row>
    <row r="205" spans="2:9" x14ac:dyDescent="0.3">
      <c r="B205" s="1">
        <v>201</v>
      </c>
      <c r="C205" s="1" t="s">
        <v>687</v>
      </c>
      <c r="D205" s="1" t="s">
        <v>688</v>
      </c>
      <c r="F205" s="1" t="s">
        <v>24</v>
      </c>
      <c r="G205" s="1" t="s">
        <v>689</v>
      </c>
      <c r="H205" s="12" t="b">
        <v>0</v>
      </c>
      <c r="I205" s="1">
        <v>11</v>
      </c>
    </row>
    <row r="206" spans="2:9" x14ac:dyDescent="0.3">
      <c r="B206" s="1">
        <v>202</v>
      </c>
      <c r="C206" s="1" t="s">
        <v>62</v>
      </c>
      <c r="D206" s="1" t="s">
        <v>63</v>
      </c>
      <c r="F206" s="1" t="s">
        <v>24</v>
      </c>
      <c r="G206" s="1" t="s">
        <v>64</v>
      </c>
      <c r="H206" s="12" t="b">
        <v>0</v>
      </c>
      <c r="I206" s="1">
        <v>11</v>
      </c>
    </row>
    <row r="207" spans="2:9" x14ac:dyDescent="0.3">
      <c r="B207" s="1">
        <v>203</v>
      </c>
      <c r="C207" s="1" t="s">
        <v>690</v>
      </c>
      <c r="D207" s="1" t="s">
        <v>691</v>
      </c>
      <c r="F207" s="1" t="s">
        <v>24</v>
      </c>
      <c r="G207" s="1" t="s">
        <v>692</v>
      </c>
      <c r="H207" s="12" t="b">
        <v>0</v>
      </c>
      <c r="I207" s="1">
        <v>11</v>
      </c>
    </row>
    <row r="208" spans="2:9" x14ac:dyDescent="0.3">
      <c r="B208" s="1">
        <v>204</v>
      </c>
      <c r="C208" s="1" t="s">
        <v>540</v>
      </c>
      <c r="D208" s="1" t="s">
        <v>541</v>
      </c>
      <c r="F208" s="1" t="s">
        <v>24</v>
      </c>
      <c r="G208" s="1" t="s">
        <v>542</v>
      </c>
      <c r="H208" s="12" t="b">
        <v>0</v>
      </c>
      <c r="I208" s="1">
        <v>11</v>
      </c>
    </row>
    <row r="209" spans="2:10" x14ac:dyDescent="0.3">
      <c r="B209" s="1">
        <v>205</v>
      </c>
      <c r="C209" s="1" t="s">
        <v>667</v>
      </c>
      <c r="D209" s="1" t="s">
        <v>668</v>
      </c>
      <c r="F209" s="1" t="s">
        <v>24</v>
      </c>
      <c r="G209" s="1" t="s">
        <v>669</v>
      </c>
      <c r="H209" s="12" t="b">
        <v>0</v>
      </c>
      <c r="I209" s="1">
        <v>11</v>
      </c>
    </row>
    <row r="210" spans="2:10" x14ac:dyDescent="0.3">
      <c r="B210" s="1">
        <v>206</v>
      </c>
      <c r="C210" s="1" t="s">
        <v>597</v>
      </c>
      <c r="D210" s="1" t="s">
        <v>599</v>
      </c>
      <c r="F210" s="1" t="s">
        <v>598</v>
      </c>
      <c r="G210" s="1" t="s">
        <v>601</v>
      </c>
      <c r="H210" s="12" t="b">
        <v>0</v>
      </c>
      <c r="I210" s="1">
        <v>11</v>
      </c>
    </row>
    <row r="211" spans="2:10" x14ac:dyDescent="0.3">
      <c r="B211" s="1">
        <v>207</v>
      </c>
      <c r="C211" s="1" t="s">
        <v>695</v>
      </c>
      <c r="D211" s="1" t="s">
        <v>696</v>
      </c>
      <c r="F211" s="1" t="s">
        <v>24</v>
      </c>
      <c r="G211" s="1" t="s">
        <v>697</v>
      </c>
      <c r="H211" s="12" t="b">
        <v>0</v>
      </c>
      <c r="I211" s="1">
        <v>12</v>
      </c>
    </row>
    <row r="212" spans="2:10" x14ac:dyDescent="0.3">
      <c r="B212" s="1">
        <v>208</v>
      </c>
      <c r="C212" s="1" t="s">
        <v>535</v>
      </c>
      <c r="D212" s="1" t="s">
        <v>536</v>
      </c>
      <c r="F212" s="1" t="s">
        <v>24</v>
      </c>
      <c r="G212" s="1" t="s">
        <v>537</v>
      </c>
      <c r="H212" s="12" t="b">
        <v>0</v>
      </c>
      <c r="I212" s="1">
        <v>12</v>
      </c>
    </row>
    <row r="213" spans="2:10" x14ac:dyDescent="0.3">
      <c r="B213" s="1">
        <v>209</v>
      </c>
      <c r="C213" s="16" t="s">
        <v>530</v>
      </c>
      <c r="D213" s="1" t="s">
        <v>531</v>
      </c>
      <c r="F213" s="1" t="s">
        <v>24</v>
      </c>
      <c r="G213" s="1" t="s">
        <v>532</v>
      </c>
      <c r="H213" s="12" t="b">
        <v>0</v>
      </c>
      <c r="I213" s="1">
        <v>12</v>
      </c>
    </row>
    <row r="214" spans="2:10" x14ac:dyDescent="0.3">
      <c r="B214" s="1">
        <v>210</v>
      </c>
      <c r="C214" s="1" t="s">
        <v>38</v>
      </c>
      <c r="F214" s="1" t="s">
        <v>24</v>
      </c>
      <c r="G214" s="1" t="s">
        <v>39</v>
      </c>
      <c r="H214" s="12" t="b">
        <v>0</v>
      </c>
      <c r="I214" s="1">
        <v>12</v>
      </c>
    </row>
    <row r="215" spans="2:10" x14ac:dyDescent="0.3">
      <c r="B215" s="1">
        <v>211</v>
      </c>
      <c r="C215" s="1" t="s">
        <v>677</v>
      </c>
      <c r="D215" s="1" t="s">
        <v>678</v>
      </c>
      <c r="F215" s="1" t="s">
        <v>24</v>
      </c>
      <c r="G215" s="1" t="s">
        <v>679</v>
      </c>
      <c r="H215" s="12" t="b">
        <v>0</v>
      </c>
      <c r="I215" s="1">
        <v>12</v>
      </c>
    </row>
    <row r="216" spans="2:10" x14ac:dyDescent="0.3">
      <c r="B216" s="1">
        <v>212</v>
      </c>
      <c r="C216" s="1" t="s">
        <v>699</v>
      </c>
      <c r="D216" s="1" t="s">
        <v>700</v>
      </c>
      <c r="F216" s="1" t="s">
        <v>24</v>
      </c>
      <c r="G216" s="1" t="s">
        <v>527</v>
      </c>
      <c r="H216" s="12" t="b">
        <v>0</v>
      </c>
      <c r="I216" s="1">
        <v>12</v>
      </c>
    </row>
    <row r="217" spans="2:10" x14ac:dyDescent="0.3">
      <c r="B217" s="1">
        <v>213</v>
      </c>
      <c r="C217" s="1" t="s">
        <v>701</v>
      </c>
      <c r="E217" s="17"/>
      <c r="F217" s="1" t="s">
        <v>24</v>
      </c>
      <c r="G217" s="1" t="s">
        <v>702</v>
      </c>
      <c r="H217" s="12" t="b">
        <v>1</v>
      </c>
      <c r="I217" s="1">
        <v>12</v>
      </c>
    </row>
    <row r="218" spans="2:10" x14ac:dyDescent="0.3">
      <c r="B218" s="1">
        <v>214</v>
      </c>
      <c r="C218" s="1" t="s">
        <v>703</v>
      </c>
      <c r="D218" s="1" t="s">
        <v>704</v>
      </c>
      <c r="F218" s="1" t="s">
        <v>33</v>
      </c>
      <c r="G218" s="1" t="s">
        <v>705</v>
      </c>
      <c r="H218" s="12" t="b">
        <v>0</v>
      </c>
      <c r="I218" s="1">
        <v>12</v>
      </c>
    </row>
    <row r="219" spans="2:10" x14ac:dyDescent="0.3">
      <c r="B219" s="1">
        <v>215</v>
      </c>
      <c r="C219" s="1" t="s">
        <v>706</v>
      </c>
      <c r="D219" s="1" t="s">
        <v>707</v>
      </c>
      <c r="F219" s="1" t="s">
        <v>129</v>
      </c>
      <c r="G219" s="1" t="s">
        <v>708</v>
      </c>
      <c r="H219" s="12" t="b">
        <v>0</v>
      </c>
      <c r="I219" s="1">
        <v>12</v>
      </c>
    </row>
    <row r="220" spans="2:10" x14ac:dyDescent="0.3">
      <c r="B220" s="1">
        <v>216</v>
      </c>
      <c r="C220" s="1" t="s">
        <v>709</v>
      </c>
      <c r="D220" s="1" t="s">
        <v>528</v>
      </c>
      <c r="F220" s="1" t="s">
        <v>33</v>
      </c>
      <c r="G220" s="1" t="s">
        <v>710</v>
      </c>
      <c r="H220" s="12" t="b">
        <v>0</v>
      </c>
      <c r="I220" s="1">
        <v>12</v>
      </c>
    </row>
    <row r="221" spans="2:10" x14ac:dyDescent="0.3">
      <c r="B221" s="1">
        <v>217</v>
      </c>
      <c r="C221" s="1" t="s">
        <v>711</v>
      </c>
      <c r="F221" s="1" t="s">
        <v>24</v>
      </c>
      <c r="G221" s="1" t="s">
        <v>712</v>
      </c>
      <c r="H221" s="12" t="b">
        <v>1</v>
      </c>
      <c r="I221" s="1">
        <v>12</v>
      </c>
    </row>
    <row r="222" spans="2:10" x14ac:dyDescent="0.3">
      <c r="B222" s="1">
        <v>218</v>
      </c>
      <c r="C222" s="1" t="s">
        <v>994</v>
      </c>
      <c r="F222" s="1" t="s">
        <v>24</v>
      </c>
      <c r="G222" s="1" t="s">
        <v>995</v>
      </c>
      <c r="H222" s="12" t="b">
        <v>1</v>
      </c>
      <c r="I222" s="1">
        <v>14</v>
      </c>
      <c r="J222" s="1" t="s">
        <v>996</v>
      </c>
    </row>
    <row r="223" spans="2:10" x14ac:dyDescent="0.3">
      <c r="H223" s="12"/>
    </row>
    <row r="224" spans="2:10" x14ac:dyDescent="0.3">
      <c r="H224" s="12"/>
    </row>
    <row r="225" spans="8:14" x14ac:dyDescent="0.3">
      <c r="H225" s="12"/>
    </row>
    <row r="226" spans="8:14" x14ac:dyDescent="0.3">
      <c r="H226" s="12"/>
    </row>
    <row r="227" spans="8:14" x14ac:dyDescent="0.3">
      <c r="H227" s="12"/>
    </row>
    <row r="228" spans="8:14" x14ac:dyDescent="0.3">
      <c r="H228" s="12"/>
    </row>
    <row r="229" spans="8:14" x14ac:dyDescent="0.3">
      <c r="H229" s="12"/>
    </row>
    <row r="230" spans="8:14" x14ac:dyDescent="0.3">
      <c r="H230" s="12"/>
    </row>
    <row r="231" spans="8:14" x14ac:dyDescent="0.3">
      <c r="H231" s="12"/>
    </row>
    <row r="232" spans="8:14" x14ac:dyDescent="0.3">
      <c r="H232" s="12"/>
    </row>
    <row r="233" spans="8:14" x14ac:dyDescent="0.3">
      <c r="H233" s="12"/>
      <c r="K233" s="1" t="s">
        <v>557</v>
      </c>
      <c r="L233" s="1" t="s">
        <v>558</v>
      </c>
      <c r="N233" s="12" t="b">
        <v>0</v>
      </c>
    </row>
    <row r="234" spans="8:14" x14ac:dyDescent="0.3">
      <c r="H234" s="12"/>
    </row>
    <row r="235" spans="8:14" x14ac:dyDescent="0.3">
      <c r="H235" s="12"/>
    </row>
    <row r="236" spans="8:14" x14ac:dyDescent="0.3">
      <c r="H236" s="12"/>
    </row>
    <row r="237" spans="8:14" x14ac:dyDescent="0.3">
      <c r="H237" s="12"/>
    </row>
    <row r="238" spans="8:14" x14ac:dyDescent="0.3">
      <c r="H238" s="12"/>
    </row>
    <row r="239" spans="8:14" x14ac:dyDescent="0.3">
      <c r="H239" s="12"/>
    </row>
    <row r="240" spans="8:14" x14ac:dyDescent="0.3">
      <c r="H240" s="12"/>
    </row>
    <row r="241" spans="8:8" x14ac:dyDescent="0.3">
      <c r="H241" s="12"/>
    </row>
    <row r="242" spans="8:8" x14ac:dyDescent="0.3">
      <c r="H242" s="12"/>
    </row>
  </sheetData>
  <conditionalFormatting sqref="I5:I242">
    <cfRule type="colorScale" priority="88">
      <colorScale>
        <cfvo type="min"/>
        <cfvo type="percentile" val="50"/>
        <cfvo type="max"/>
        <color theme="0" tint="-4.9989318521683403E-2"/>
        <color theme="4" tint="0.59999389629810485"/>
        <color theme="6" tint="0.39997558519241921"/>
      </colorScale>
    </cfRule>
  </conditionalFormatting>
  <conditionalFormatting sqref="B5:H242">
    <cfRule type="expression" dxfId="7" priority="1">
      <formula>$E5&lt;&gt;""</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3E620-F7CD-4830-947E-834815BC5CB1}">
  <sheetPr codeName="Sheet7"/>
  <dimension ref="B1:AZ183"/>
  <sheetViews>
    <sheetView showGridLines="0" zoomScale="70" zoomScaleNormal="70" workbookViewId="0">
      <pane ySplit="2" topLeftCell="A3" activePane="bottomLeft" state="frozenSplit"/>
      <selection activeCell="I13" sqref="I13"/>
      <selection pane="bottomLeft" activeCell="A3" sqref="A3"/>
    </sheetView>
  </sheetViews>
  <sheetFormatPr defaultColWidth="9.23046875" defaultRowHeight="18.75" x14ac:dyDescent="0.3"/>
  <cols>
    <col min="1" max="1" width="1.3046875" style="1" customWidth="1"/>
    <col min="2" max="2" width="4.15234375" style="1" customWidth="1"/>
    <col min="3" max="3" width="27.3828125" style="1" customWidth="1"/>
    <col min="4" max="4" width="10.15234375" style="1" customWidth="1"/>
    <col min="5" max="5" width="9.15234375" style="1" customWidth="1"/>
    <col min="6" max="6" width="21.69140625" style="1" customWidth="1"/>
    <col min="7" max="7" width="49.07421875" style="1" customWidth="1"/>
    <col min="8" max="8" width="8.921875" style="1" customWidth="1"/>
    <col min="9" max="9" width="9.69140625" style="1" bestFit="1" customWidth="1"/>
    <col min="10" max="10" width="8.53515625" style="1" customWidth="1"/>
    <col min="11" max="11" width="9.23046875" style="1"/>
    <col min="12" max="12" width="2.4609375" style="1" customWidth="1"/>
    <col min="13" max="13" width="2.3046875" style="1" customWidth="1"/>
    <col min="14" max="14" width="3.3828125" style="1" customWidth="1"/>
    <col min="15" max="16" width="1.4609375" style="1" customWidth="1"/>
    <col min="17" max="17" width="2.23046875" style="1" customWidth="1"/>
    <col min="18" max="18" width="4.3046875" style="1" customWidth="1"/>
    <col min="19" max="19" width="3.765625" style="1" customWidth="1"/>
    <col min="20" max="16384" width="9.23046875" style="1"/>
  </cols>
  <sheetData>
    <row r="1" spans="2:52" ht="67.5" customHeight="1" x14ac:dyDescent="0.3">
      <c r="Z1"/>
      <c r="AZ1"/>
    </row>
    <row r="2" spans="2:52" ht="20.25" thickBot="1" x14ac:dyDescent="0.35">
      <c r="B2" s="11" t="s">
        <v>221</v>
      </c>
      <c r="C2" s="11"/>
      <c r="D2" s="11"/>
      <c r="E2" s="11"/>
      <c r="F2" s="11"/>
      <c r="G2" s="11"/>
      <c r="H2" s="11"/>
      <c r="I2" s="23" t="str">
        <f>IFERROR("/solve-case-robot " &amp; LEFT(B2) &amp; " " &amp; MAX(_xlfn._TRO_TRAILING(I5:I10000)) + 1, "")</f>
        <v>/solve-case-robot C 5</v>
      </c>
      <c r="J2" s="11"/>
    </row>
    <row r="3" spans="2:52" ht="19.5" thickTop="1" x14ac:dyDescent="0.3"/>
    <row r="4" spans="2:52" x14ac:dyDescent="0.3">
      <c r="B4" s="5" t="s">
        <v>19</v>
      </c>
      <c r="C4" s="5" t="s">
        <v>20</v>
      </c>
      <c r="D4" s="5" t="s">
        <v>14</v>
      </c>
      <c r="E4" s="5" t="s">
        <v>21</v>
      </c>
      <c r="F4" s="5" t="s">
        <v>15</v>
      </c>
      <c r="G4" s="5" t="s">
        <v>16</v>
      </c>
      <c r="H4" s="5" t="s">
        <v>17</v>
      </c>
      <c r="I4" s="5" t="s">
        <v>84</v>
      </c>
      <c r="J4" s="5" t="s">
        <v>870</v>
      </c>
      <c r="N4" s="1" t="s">
        <v>756</v>
      </c>
    </row>
    <row r="5" spans="2:52" x14ac:dyDescent="0.3">
      <c r="B5" s="1" cm="1">
        <f t="array" ref="B5:B183">IFERROR(_xlfn.SEQUENCE(COUNTA(_xlfn._TRO_ALL(C:C))-1),"")</f>
        <v>1</v>
      </c>
      <c r="C5" s="16" t="s">
        <v>717</v>
      </c>
      <c r="D5" s="1" t="s">
        <v>718</v>
      </c>
      <c r="F5" s="1" t="s">
        <v>24</v>
      </c>
      <c r="G5" s="1" t="s">
        <v>796</v>
      </c>
      <c r="H5" s="12" t="b">
        <v>1</v>
      </c>
      <c r="I5" s="1">
        <v>2</v>
      </c>
      <c r="L5" s="1" cm="1">
        <f t="array" ref="L5:M8">IFERROR(_xlfn._xlws.SORT(_xlfn.LET(_xlpm.cnt,CountEachUniqueValue(_xlfn._TRO_TRAILING(I5:I4902)),_xlfn._xlws.FILTER(_xlpm.cnt,_xlfn.TAKE(_xlpm.cnt,,1)&lt;&gt;""))),"")</f>
        <v>1</v>
      </c>
      <c r="M5" s="1">
        <v>32</v>
      </c>
      <c r="N5" s="1">
        <v>3</v>
      </c>
    </row>
    <row r="6" spans="2:52" x14ac:dyDescent="0.3">
      <c r="B6" s="1">
        <v>2</v>
      </c>
      <c r="C6" s="1" t="s">
        <v>797</v>
      </c>
      <c r="D6" s="1" t="s">
        <v>798</v>
      </c>
      <c r="F6" s="1" t="s">
        <v>105</v>
      </c>
      <c r="G6" s="1" t="s">
        <v>799</v>
      </c>
      <c r="H6" s="12" t="b">
        <v>0</v>
      </c>
      <c r="I6" s="1">
        <v>2</v>
      </c>
      <c r="L6" s="1">
        <v>2</v>
      </c>
      <c r="M6" s="1">
        <v>86</v>
      </c>
    </row>
    <row r="7" spans="2:52" x14ac:dyDescent="0.3">
      <c r="B7" s="1">
        <v>3</v>
      </c>
      <c r="C7" s="1" t="s">
        <v>719</v>
      </c>
      <c r="D7" s="1" t="s">
        <v>720</v>
      </c>
      <c r="F7" s="1" t="s">
        <v>129</v>
      </c>
      <c r="G7" s="1" t="s">
        <v>721</v>
      </c>
      <c r="H7" s="12" t="b">
        <v>0</v>
      </c>
      <c r="I7" s="1">
        <v>1</v>
      </c>
      <c r="L7" s="1">
        <v>3</v>
      </c>
      <c r="M7" s="1">
        <v>57</v>
      </c>
    </row>
    <row r="8" spans="2:52" x14ac:dyDescent="0.3">
      <c r="B8" s="1">
        <v>4</v>
      </c>
      <c r="C8" s="1" t="s">
        <v>843</v>
      </c>
      <c r="D8" s="1" t="s">
        <v>844</v>
      </c>
      <c r="F8" s="1" t="s">
        <v>129</v>
      </c>
      <c r="G8" s="1" t="s">
        <v>845</v>
      </c>
      <c r="H8" s="12" t="b">
        <v>0</v>
      </c>
      <c r="I8" s="1">
        <v>3</v>
      </c>
      <c r="L8" s="1">
        <v>4</v>
      </c>
      <c r="M8" s="1">
        <v>4</v>
      </c>
    </row>
    <row r="9" spans="2:52" x14ac:dyDescent="0.3">
      <c r="B9" s="1">
        <v>5</v>
      </c>
      <c r="C9" s="1" t="s">
        <v>26</v>
      </c>
      <c r="D9" s="1" t="s">
        <v>846</v>
      </c>
      <c r="F9" s="1" t="s">
        <v>24</v>
      </c>
      <c r="G9" s="1" t="s">
        <v>912</v>
      </c>
      <c r="H9" s="12" t="b">
        <v>0</v>
      </c>
      <c r="I9" s="1">
        <v>3</v>
      </c>
      <c r="J9" s="1" t="s">
        <v>871</v>
      </c>
    </row>
    <row r="10" spans="2:52" x14ac:dyDescent="0.3">
      <c r="B10" s="1">
        <v>6</v>
      </c>
      <c r="C10" s="1" t="s">
        <v>89</v>
      </c>
      <c r="D10" s="1" t="s">
        <v>90</v>
      </c>
      <c r="F10" s="1" t="s">
        <v>24</v>
      </c>
      <c r="G10" s="1" t="s">
        <v>91</v>
      </c>
      <c r="H10" s="12" t="b">
        <v>0</v>
      </c>
      <c r="I10" s="1">
        <v>1</v>
      </c>
    </row>
    <row r="11" spans="2:52" x14ac:dyDescent="0.3">
      <c r="B11" s="1">
        <v>7</v>
      </c>
      <c r="C11" s="16" t="s">
        <v>530</v>
      </c>
      <c r="D11" s="1" t="s">
        <v>531</v>
      </c>
      <c r="F11" s="1" t="s">
        <v>24</v>
      </c>
      <c r="G11" s="1" t="s">
        <v>532</v>
      </c>
      <c r="H11" s="12" t="b">
        <v>0</v>
      </c>
      <c r="I11" s="1">
        <v>1</v>
      </c>
    </row>
    <row r="12" spans="2:52" x14ac:dyDescent="0.3">
      <c r="B12" s="1">
        <v>8</v>
      </c>
      <c r="C12" s="1" t="s">
        <v>677</v>
      </c>
      <c r="D12" s="1" t="s">
        <v>678</v>
      </c>
      <c r="F12" s="1" t="s">
        <v>24</v>
      </c>
      <c r="G12" s="1" t="s">
        <v>679</v>
      </c>
      <c r="H12" s="12" t="b">
        <v>0</v>
      </c>
      <c r="I12" s="1">
        <v>1</v>
      </c>
    </row>
    <row r="13" spans="2:52" x14ac:dyDescent="0.3">
      <c r="B13" s="1">
        <v>9</v>
      </c>
      <c r="C13" s="1" t="s">
        <v>117</v>
      </c>
      <c r="D13" s="1" t="s">
        <v>118</v>
      </c>
      <c r="F13" s="1" t="s">
        <v>24</v>
      </c>
      <c r="G13" s="1" t="s">
        <v>502</v>
      </c>
      <c r="H13" s="12" t="b">
        <v>0</v>
      </c>
      <c r="I13" s="1">
        <v>1</v>
      </c>
    </row>
    <row r="14" spans="2:52" x14ac:dyDescent="0.3">
      <c r="B14" s="1">
        <v>10</v>
      </c>
      <c r="C14" s="1" t="s">
        <v>722</v>
      </c>
      <c r="D14" s="1" t="s">
        <v>723</v>
      </c>
      <c r="E14" s="1" t="s">
        <v>739</v>
      </c>
      <c r="F14" s="1" t="s">
        <v>24</v>
      </c>
      <c r="G14" s="1" t="s">
        <v>740</v>
      </c>
      <c r="H14" s="12" t="b">
        <v>0</v>
      </c>
      <c r="I14" s="1">
        <v>1</v>
      </c>
    </row>
    <row r="15" spans="2:52" x14ac:dyDescent="0.3">
      <c r="B15" s="1">
        <v>11</v>
      </c>
      <c r="C15" s="1" t="s">
        <v>741</v>
      </c>
      <c r="F15" s="1" t="s">
        <v>24</v>
      </c>
      <c r="G15" s="1" t="s">
        <v>742</v>
      </c>
      <c r="H15" s="12" t="b">
        <v>1</v>
      </c>
      <c r="I15" s="1">
        <v>1</v>
      </c>
    </row>
    <row r="16" spans="2:52" x14ac:dyDescent="0.3">
      <c r="B16" s="1">
        <v>12</v>
      </c>
      <c r="C16" s="1" t="s">
        <v>724</v>
      </c>
      <c r="D16" s="1" t="s">
        <v>725</v>
      </c>
      <c r="F16" s="1" t="s">
        <v>726</v>
      </c>
      <c r="G16" s="1" t="s">
        <v>727</v>
      </c>
      <c r="H16" s="12" t="b">
        <v>0</v>
      </c>
      <c r="I16" s="1">
        <v>1</v>
      </c>
    </row>
    <row r="17" spans="2:9" x14ac:dyDescent="0.3">
      <c r="B17" s="1">
        <v>13</v>
      </c>
      <c r="C17" s="1" t="s">
        <v>728</v>
      </c>
      <c r="D17" s="1" t="s">
        <v>729</v>
      </c>
      <c r="E17" s="1">
        <v>40</v>
      </c>
      <c r="F17" s="1" t="s">
        <v>24</v>
      </c>
      <c r="G17" s="1" t="s">
        <v>730</v>
      </c>
      <c r="H17" s="12" t="b">
        <v>0</v>
      </c>
      <c r="I17" s="1">
        <v>1</v>
      </c>
    </row>
    <row r="18" spans="2:9" x14ac:dyDescent="0.3">
      <c r="B18" s="1">
        <v>14</v>
      </c>
      <c r="C18" s="1" t="s">
        <v>731</v>
      </c>
      <c r="F18" s="1" t="s">
        <v>24</v>
      </c>
      <c r="G18" s="1" t="s">
        <v>732</v>
      </c>
      <c r="H18" s="12" t="b">
        <v>1</v>
      </c>
      <c r="I18" s="1">
        <v>1</v>
      </c>
    </row>
    <row r="19" spans="2:9" x14ac:dyDescent="0.3">
      <c r="B19" s="1">
        <v>15</v>
      </c>
      <c r="C19" s="1" t="s">
        <v>733</v>
      </c>
      <c r="D19" s="1" t="s">
        <v>734</v>
      </c>
      <c r="E19" s="1" t="s">
        <v>735</v>
      </c>
      <c r="F19" s="1" t="s">
        <v>24</v>
      </c>
      <c r="G19" s="1" t="s">
        <v>736</v>
      </c>
      <c r="H19" s="12" t="b">
        <v>0</v>
      </c>
      <c r="I19" s="1">
        <v>1</v>
      </c>
    </row>
    <row r="20" spans="2:9" x14ac:dyDescent="0.3">
      <c r="B20" s="1">
        <v>16</v>
      </c>
      <c r="C20" s="1" t="s">
        <v>737</v>
      </c>
      <c r="F20" s="1" t="s">
        <v>24</v>
      </c>
      <c r="G20" s="1" t="s">
        <v>738</v>
      </c>
      <c r="H20" s="12" t="b">
        <v>1</v>
      </c>
      <c r="I20" s="1">
        <v>1</v>
      </c>
    </row>
    <row r="21" spans="2:9" x14ac:dyDescent="0.3">
      <c r="B21" s="1">
        <v>17</v>
      </c>
      <c r="C21" s="1" t="s">
        <v>743</v>
      </c>
      <c r="D21" s="1" t="s">
        <v>744</v>
      </c>
      <c r="F21" s="1" t="s">
        <v>24</v>
      </c>
      <c r="G21" s="1" t="s">
        <v>745</v>
      </c>
      <c r="H21" s="12" t="b">
        <v>0</v>
      </c>
      <c r="I21" s="1">
        <v>1</v>
      </c>
    </row>
    <row r="22" spans="2:9" x14ac:dyDescent="0.3">
      <c r="B22" s="1">
        <v>18</v>
      </c>
      <c r="C22" s="1" t="s">
        <v>746</v>
      </c>
      <c r="D22" s="1" t="s">
        <v>748</v>
      </c>
      <c r="F22" s="1" t="s">
        <v>726</v>
      </c>
      <c r="G22" s="1" t="s">
        <v>747</v>
      </c>
      <c r="H22" s="12" t="b">
        <v>0</v>
      </c>
      <c r="I22" s="1">
        <v>1</v>
      </c>
    </row>
    <row r="23" spans="2:9" x14ac:dyDescent="0.3">
      <c r="B23" s="1">
        <v>19</v>
      </c>
      <c r="C23" s="1" t="s">
        <v>100</v>
      </c>
      <c r="D23" s="1" t="s">
        <v>101</v>
      </c>
      <c r="F23" s="1" t="s">
        <v>24</v>
      </c>
      <c r="G23" s="1" t="s">
        <v>102</v>
      </c>
      <c r="H23" s="12" t="b">
        <v>0</v>
      </c>
      <c r="I23" s="1">
        <v>1</v>
      </c>
    </row>
    <row r="24" spans="2:9" x14ac:dyDescent="0.3">
      <c r="B24" s="1">
        <v>20</v>
      </c>
      <c r="C24" s="1" t="s">
        <v>103</v>
      </c>
      <c r="D24" s="1" t="s">
        <v>104</v>
      </c>
      <c r="F24" s="1" t="s">
        <v>105</v>
      </c>
      <c r="G24" s="1" t="s">
        <v>106</v>
      </c>
      <c r="H24" s="12" t="b">
        <v>0</v>
      </c>
      <c r="I24" s="1">
        <v>1</v>
      </c>
    </row>
    <row r="25" spans="2:9" x14ac:dyDescent="0.3">
      <c r="B25" s="1">
        <v>21</v>
      </c>
      <c r="C25" s="1" t="s">
        <v>107</v>
      </c>
      <c r="D25" s="1" t="s">
        <v>108</v>
      </c>
      <c r="F25" s="1" t="s">
        <v>24</v>
      </c>
      <c r="G25" s="1" t="s">
        <v>109</v>
      </c>
      <c r="H25" s="12" t="b">
        <v>0</v>
      </c>
      <c r="I25" s="1">
        <v>1</v>
      </c>
    </row>
    <row r="26" spans="2:9" x14ac:dyDescent="0.3">
      <c r="B26" s="1">
        <v>22</v>
      </c>
      <c r="C26" s="16" t="s">
        <v>530</v>
      </c>
      <c r="D26" s="1" t="s">
        <v>531</v>
      </c>
      <c r="F26" s="1" t="s">
        <v>24</v>
      </c>
      <c r="G26" s="1" t="s">
        <v>532</v>
      </c>
      <c r="H26" s="12" t="b">
        <v>0</v>
      </c>
      <c r="I26" s="1">
        <v>1</v>
      </c>
    </row>
    <row r="27" spans="2:9" x14ac:dyDescent="0.3">
      <c r="B27" s="1">
        <v>23</v>
      </c>
      <c r="C27" s="1" t="s">
        <v>677</v>
      </c>
      <c r="D27" s="1" t="s">
        <v>678</v>
      </c>
      <c r="F27" s="1" t="s">
        <v>24</v>
      </c>
      <c r="G27" s="1" t="s">
        <v>679</v>
      </c>
      <c r="H27" s="12" t="b">
        <v>0</v>
      </c>
      <c r="I27" s="1">
        <v>1</v>
      </c>
    </row>
    <row r="28" spans="2:9" x14ac:dyDescent="0.3">
      <c r="B28" s="1">
        <v>24</v>
      </c>
      <c r="C28" s="1" t="s">
        <v>117</v>
      </c>
      <c r="D28" s="1" t="s">
        <v>118</v>
      </c>
      <c r="F28" s="1" t="s">
        <v>24</v>
      </c>
      <c r="G28" s="1" t="s">
        <v>502</v>
      </c>
      <c r="H28" s="12" t="b">
        <v>0</v>
      </c>
      <c r="I28" s="1">
        <v>1</v>
      </c>
    </row>
    <row r="29" spans="2:9" x14ac:dyDescent="0.3">
      <c r="B29" s="1">
        <v>25</v>
      </c>
      <c r="C29" s="1" t="s">
        <v>722</v>
      </c>
      <c r="D29" s="1" t="s">
        <v>723</v>
      </c>
      <c r="E29" s="1" t="s">
        <v>739</v>
      </c>
      <c r="F29" s="1" t="s">
        <v>24</v>
      </c>
      <c r="G29" s="1" t="s">
        <v>740</v>
      </c>
      <c r="H29" s="12" t="b">
        <v>0</v>
      </c>
      <c r="I29" s="1">
        <v>1</v>
      </c>
    </row>
    <row r="30" spans="2:9" x14ac:dyDescent="0.3">
      <c r="B30" s="1">
        <v>26</v>
      </c>
      <c r="C30" s="1" t="s">
        <v>741</v>
      </c>
      <c r="F30" s="1" t="s">
        <v>24</v>
      </c>
      <c r="G30" s="1" t="s">
        <v>742</v>
      </c>
      <c r="H30" s="12" t="b">
        <v>1</v>
      </c>
      <c r="I30" s="1">
        <v>1</v>
      </c>
    </row>
    <row r="31" spans="2:9" x14ac:dyDescent="0.3">
      <c r="B31" s="1">
        <v>27</v>
      </c>
      <c r="C31" s="1" t="s">
        <v>724</v>
      </c>
      <c r="D31" s="1" t="s">
        <v>725</v>
      </c>
      <c r="F31" s="1" t="s">
        <v>726</v>
      </c>
      <c r="G31" s="1" t="s">
        <v>727</v>
      </c>
      <c r="H31" s="12" t="b">
        <v>0</v>
      </c>
      <c r="I31" s="1">
        <v>1</v>
      </c>
    </row>
    <row r="32" spans="2:9" x14ac:dyDescent="0.3">
      <c r="B32" s="1">
        <v>28</v>
      </c>
      <c r="C32" s="1" t="s">
        <v>728</v>
      </c>
      <c r="D32" s="1" t="s">
        <v>729</v>
      </c>
      <c r="E32" s="1">
        <v>40</v>
      </c>
      <c r="F32" s="1" t="s">
        <v>24</v>
      </c>
      <c r="G32" s="1" t="s">
        <v>730</v>
      </c>
      <c r="H32" s="12" t="b">
        <v>0</v>
      </c>
      <c r="I32" s="1">
        <v>1</v>
      </c>
    </row>
    <row r="33" spans="2:10" x14ac:dyDescent="0.3">
      <c r="B33" s="1">
        <v>29</v>
      </c>
      <c r="C33" s="1" t="s">
        <v>731</v>
      </c>
      <c r="F33" s="1" t="s">
        <v>24</v>
      </c>
      <c r="G33" s="1" t="s">
        <v>732</v>
      </c>
      <c r="H33" s="12" t="b">
        <v>1</v>
      </c>
      <c r="I33" s="1">
        <v>1</v>
      </c>
    </row>
    <row r="34" spans="2:10" x14ac:dyDescent="0.3">
      <c r="B34" s="1">
        <v>30</v>
      </c>
      <c r="C34" s="1" t="s">
        <v>733</v>
      </c>
      <c r="D34" s="1" t="s">
        <v>734</v>
      </c>
      <c r="E34" s="1" t="s">
        <v>735</v>
      </c>
      <c r="F34" s="1" t="s">
        <v>24</v>
      </c>
      <c r="G34" s="1" t="s">
        <v>736</v>
      </c>
      <c r="H34" s="12" t="b">
        <v>0</v>
      </c>
      <c r="I34" s="1">
        <v>1</v>
      </c>
    </row>
    <row r="35" spans="2:10" x14ac:dyDescent="0.3">
      <c r="B35" s="1">
        <v>31</v>
      </c>
      <c r="C35" s="1" t="s">
        <v>737</v>
      </c>
      <c r="F35" s="1" t="s">
        <v>24</v>
      </c>
      <c r="G35" s="1" t="s">
        <v>738</v>
      </c>
      <c r="H35" s="12" t="b">
        <v>1</v>
      </c>
      <c r="I35" s="1">
        <v>1</v>
      </c>
    </row>
    <row r="36" spans="2:10" x14ac:dyDescent="0.3">
      <c r="B36" s="1">
        <v>32</v>
      </c>
      <c r="C36" s="1" t="s">
        <v>749</v>
      </c>
      <c r="F36" s="1" t="s">
        <v>726</v>
      </c>
      <c r="G36" s="1" t="s">
        <v>750</v>
      </c>
      <c r="H36" s="12" t="b">
        <v>0</v>
      </c>
      <c r="I36" s="1">
        <v>1</v>
      </c>
    </row>
    <row r="37" spans="2:10" x14ac:dyDescent="0.3">
      <c r="B37" s="1">
        <v>33</v>
      </c>
      <c r="C37" s="1" t="s">
        <v>751</v>
      </c>
      <c r="D37" s="1" t="s">
        <v>752</v>
      </c>
      <c r="E37" s="1">
        <v>1500</v>
      </c>
      <c r="F37" s="1" t="s">
        <v>24</v>
      </c>
      <c r="G37" s="1" t="s">
        <v>753</v>
      </c>
      <c r="H37" s="12" t="b">
        <v>0</v>
      </c>
      <c r="I37" s="1">
        <v>1</v>
      </c>
    </row>
    <row r="38" spans="2:10" x14ac:dyDescent="0.3">
      <c r="B38" s="1">
        <v>34</v>
      </c>
      <c r="C38" s="1" t="s">
        <v>754</v>
      </c>
      <c r="F38" s="1" t="s">
        <v>24</v>
      </c>
      <c r="G38" s="1" t="s">
        <v>755</v>
      </c>
      <c r="H38" s="12" t="b">
        <v>1</v>
      </c>
      <c r="I38" s="1">
        <v>1</v>
      </c>
    </row>
    <row r="39" spans="2:10" x14ac:dyDescent="0.3">
      <c r="B39" s="1">
        <v>35</v>
      </c>
      <c r="C39" s="1" t="s">
        <v>100</v>
      </c>
      <c r="D39" s="1" t="s">
        <v>101</v>
      </c>
      <c r="F39" s="1" t="s">
        <v>24</v>
      </c>
      <c r="G39" s="1" t="s">
        <v>102</v>
      </c>
      <c r="H39" s="12" t="b">
        <v>0</v>
      </c>
      <c r="I39" s="1">
        <v>1</v>
      </c>
    </row>
    <row r="40" spans="2:10" x14ac:dyDescent="0.3">
      <c r="B40" s="1">
        <v>36</v>
      </c>
      <c r="C40" s="1" t="s">
        <v>103</v>
      </c>
      <c r="D40" s="1" t="s">
        <v>104</v>
      </c>
      <c r="F40" s="1" t="s">
        <v>105</v>
      </c>
      <c r="G40" s="1" t="s">
        <v>106</v>
      </c>
      <c r="H40" s="12" t="b">
        <v>0</v>
      </c>
      <c r="I40" s="1">
        <v>1</v>
      </c>
    </row>
    <row r="41" spans="2:10" x14ac:dyDescent="0.3">
      <c r="B41" s="1">
        <v>37</v>
      </c>
      <c r="C41" s="1" t="s">
        <v>131</v>
      </c>
      <c r="D41" s="1" t="s">
        <v>132</v>
      </c>
      <c r="F41" s="1" t="s">
        <v>24</v>
      </c>
      <c r="G41" s="1" t="s">
        <v>133</v>
      </c>
      <c r="H41" s="12" t="b">
        <v>0</v>
      </c>
      <c r="I41" s="1">
        <v>2</v>
      </c>
    </row>
    <row r="42" spans="2:10" x14ac:dyDescent="0.3">
      <c r="B42" s="1">
        <v>38</v>
      </c>
      <c r="C42" s="16" t="s">
        <v>530</v>
      </c>
      <c r="D42" s="1" t="s">
        <v>531</v>
      </c>
      <c r="F42" s="1" t="s">
        <v>24</v>
      </c>
      <c r="G42" s="1" t="s">
        <v>532</v>
      </c>
      <c r="H42" s="12" t="b">
        <v>0</v>
      </c>
      <c r="I42" s="1">
        <v>2</v>
      </c>
    </row>
    <row r="43" spans="2:10" x14ac:dyDescent="0.3">
      <c r="B43" s="1">
        <v>39</v>
      </c>
      <c r="C43" s="1" t="s">
        <v>677</v>
      </c>
      <c r="D43" s="1" t="s">
        <v>678</v>
      </c>
      <c r="F43" s="1" t="s">
        <v>24</v>
      </c>
      <c r="G43" s="1" t="s">
        <v>679</v>
      </c>
      <c r="H43" s="12" t="b">
        <v>0</v>
      </c>
      <c r="I43" s="1">
        <v>2</v>
      </c>
    </row>
    <row r="44" spans="2:10" x14ac:dyDescent="0.3">
      <c r="B44" s="1">
        <v>40</v>
      </c>
      <c r="C44" s="1" t="s">
        <v>117</v>
      </c>
      <c r="D44" s="1" t="s">
        <v>118</v>
      </c>
      <c r="F44" s="1" t="s">
        <v>24</v>
      </c>
      <c r="G44" s="1" t="s">
        <v>502</v>
      </c>
      <c r="H44" s="12" t="b">
        <v>0</v>
      </c>
      <c r="I44" s="1">
        <v>2</v>
      </c>
    </row>
    <row r="45" spans="2:10" x14ac:dyDescent="0.3">
      <c r="B45" s="1">
        <v>41</v>
      </c>
      <c r="C45" s="1" t="s">
        <v>722</v>
      </c>
      <c r="D45" s="1" t="s">
        <v>723</v>
      </c>
      <c r="E45" s="1" t="s">
        <v>739</v>
      </c>
      <c r="F45" s="1" t="s">
        <v>24</v>
      </c>
      <c r="G45" s="1" t="s">
        <v>740</v>
      </c>
      <c r="H45" s="12" t="b">
        <v>0</v>
      </c>
      <c r="I45" s="1">
        <v>2</v>
      </c>
    </row>
    <row r="46" spans="2:10" x14ac:dyDescent="0.3">
      <c r="B46" s="1">
        <v>42</v>
      </c>
      <c r="C46" s="1" t="s">
        <v>741</v>
      </c>
      <c r="F46" s="1" t="s">
        <v>24</v>
      </c>
      <c r="G46" s="1" t="s">
        <v>742</v>
      </c>
      <c r="H46" s="12" t="b">
        <v>1</v>
      </c>
      <c r="I46" s="1">
        <v>2</v>
      </c>
    </row>
    <row r="47" spans="2:10" x14ac:dyDescent="0.3">
      <c r="B47" s="1">
        <v>43</v>
      </c>
      <c r="C47" s="1" t="s">
        <v>724</v>
      </c>
      <c r="D47" s="1" t="s">
        <v>725</v>
      </c>
      <c r="F47" s="1" t="s">
        <v>726</v>
      </c>
      <c r="G47" s="1" t="s">
        <v>727</v>
      </c>
      <c r="H47" s="12" t="b">
        <v>0</v>
      </c>
      <c r="I47" s="1">
        <v>2</v>
      </c>
      <c r="J47" s="1" t="s">
        <v>872</v>
      </c>
    </row>
    <row r="48" spans="2:10" x14ac:dyDescent="0.3">
      <c r="B48" s="1">
        <v>44</v>
      </c>
      <c r="C48" s="1" t="s">
        <v>757</v>
      </c>
      <c r="D48" s="1" t="s">
        <v>758</v>
      </c>
      <c r="F48" s="1" t="s">
        <v>24</v>
      </c>
      <c r="G48" s="1" t="s">
        <v>913</v>
      </c>
      <c r="H48" s="12" t="b">
        <v>0</v>
      </c>
      <c r="I48" s="1">
        <v>2</v>
      </c>
      <c r="J48" s="1" t="s">
        <v>785</v>
      </c>
    </row>
    <row r="49" spans="2:10" x14ac:dyDescent="0.3">
      <c r="B49" s="1">
        <v>45</v>
      </c>
      <c r="C49" s="1" t="s">
        <v>757</v>
      </c>
      <c r="D49" s="1" t="s">
        <v>758</v>
      </c>
      <c r="F49" s="1" t="s">
        <v>24</v>
      </c>
      <c r="G49" s="1" t="s">
        <v>913</v>
      </c>
      <c r="H49" s="1" t="b">
        <v>0</v>
      </c>
      <c r="I49" s="1">
        <v>2</v>
      </c>
      <c r="J49" s="1" t="s">
        <v>786</v>
      </c>
    </row>
    <row r="50" spans="2:10" x14ac:dyDescent="0.3">
      <c r="B50" s="1">
        <v>46</v>
      </c>
      <c r="C50" s="1" t="s">
        <v>757</v>
      </c>
      <c r="D50" s="1" t="s">
        <v>758</v>
      </c>
      <c r="F50" s="1" t="s">
        <v>24</v>
      </c>
      <c r="G50" s="1" t="s">
        <v>913</v>
      </c>
      <c r="H50" s="1" t="b">
        <v>0</v>
      </c>
      <c r="I50" s="1">
        <v>2</v>
      </c>
      <c r="J50" s="1" t="s">
        <v>787</v>
      </c>
    </row>
    <row r="51" spans="2:10" x14ac:dyDescent="0.3">
      <c r="B51" s="1">
        <v>47</v>
      </c>
      <c r="C51" s="1" t="s">
        <v>778</v>
      </c>
      <c r="D51" s="1" t="s">
        <v>779</v>
      </c>
      <c r="E51" s="1">
        <v>40</v>
      </c>
      <c r="F51" s="1" t="s">
        <v>24</v>
      </c>
      <c r="G51" s="1" t="s">
        <v>865</v>
      </c>
      <c r="H51" s="1" t="b">
        <v>0</v>
      </c>
      <c r="I51" s="1">
        <v>2</v>
      </c>
      <c r="J51" s="1" t="s">
        <v>873</v>
      </c>
    </row>
    <row r="52" spans="2:10" x14ac:dyDescent="0.3">
      <c r="B52" s="1">
        <v>48</v>
      </c>
      <c r="C52" s="1" t="s">
        <v>761</v>
      </c>
      <c r="F52" s="1" t="s">
        <v>24</v>
      </c>
      <c r="G52" s="1" t="s">
        <v>732</v>
      </c>
      <c r="H52" s="1" t="b">
        <v>1</v>
      </c>
      <c r="I52" s="1">
        <v>2</v>
      </c>
    </row>
    <row r="53" spans="2:10" x14ac:dyDescent="0.3">
      <c r="B53" s="1">
        <v>49</v>
      </c>
      <c r="C53" s="1" t="s">
        <v>762</v>
      </c>
      <c r="D53" s="1" t="s">
        <v>763</v>
      </c>
      <c r="E53" s="1">
        <v>200</v>
      </c>
      <c r="F53" s="1" t="s">
        <v>24</v>
      </c>
      <c r="G53" s="1" t="s">
        <v>764</v>
      </c>
      <c r="H53" s="1" t="b">
        <v>0</v>
      </c>
      <c r="I53" s="1">
        <v>2</v>
      </c>
    </row>
    <row r="54" spans="2:10" x14ac:dyDescent="0.3">
      <c r="B54" s="1">
        <v>50</v>
      </c>
      <c r="C54" s="1" t="s">
        <v>765</v>
      </c>
      <c r="F54" s="1" t="s">
        <v>24</v>
      </c>
      <c r="G54" s="1" t="s">
        <v>914</v>
      </c>
      <c r="H54" s="1" t="b">
        <v>1</v>
      </c>
      <c r="I54" s="1">
        <v>2</v>
      </c>
      <c r="J54" s="1" t="s">
        <v>874</v>
      </c>
    </row>
    <row r="55" spans="2:10" x14ac:dyDescent="0.3">
      <c r="B55" s="1">
        <v>51</v>
      </c>
      <c r="C55" s="1" t="s">
        <v>788</v>
      </c>
      <c r="D55" s="1" t="s">
        <v>789</v>
      </c>
      <c r="F55" s="1" t="s">
        <v>24</v>
      </c>
      <c r="G55" s="1" t="s">
        <v>915</v>
      </c>
      <c r="H55" s="1" t="b">
        <v>0</v>
      </c>
      <c r="I55" s="1">
        <v>2</v>
      </c>
      <c r="J55" s="1" t="s">
        <v>875</v>
      </c>
    </row>
    <row r="56" spans="2:10" x14ac:dyDescent="0.3">
      <c r="B56" s="1">
        <v>52</v>
      </c>
      <c r="C56" s="1" t="s">
        <v>728</v>
      </c>
      <c r="D56" s="1" t="s">
        <v>729</v>
      </c>
      <c r="E56" s="1">
        <v>40</v>
      </c>
      <c r="F56" s="1" t="s">
        <v>24</v>
      </c>
      <c r="G56" s="1" t="s">
        <v>730</v>
      </c>
      <c r="H56" s="1" t="b">
        <v>0</v>
      </c>
      <c r="I56" s="1">
        <v>2</v>
      </c>
    </row>
    <row r="57" spans="2:10" x14ac:dyDescent="0.3">
      <c r="B57" s="1">
        <v>53</v>
      </c>
      <c r="C57" s="1" t="s">
        <v>731</v>
      </c>
      <c r="F57" s="1" t="s">
        <v>24</v>
      </c>
      <c r="G57" s="1" t="s">
        <v>732</v>
      </c>
      <c r="H57" s="1" t="b">
        <v>1</v>
      </c>
      <c r="I57" s="1">
        <v>2</v>
      </c>
    </row>
    <row r="58" spans="2:10" x14ac:dyDescent="0.3">
      <c r="B58" s="1">
        <v>54</v>
      </c>
      <c r="C58" s="1" t="s">
        <v>733</v>
      </c>
      <c r="D58" s="1" t="s">
        <v>734</v>
      </c>
      <c r="E58" s="1" t="s">
        <v>759</v>
      </c>
      <c r="F58" s="1" t="s">
        <v>24</v>
      </c>
      <c r="G58" s="1" t="s">
        <v>736</v>
      </c>
      <c r="H58" s="1" t="b">
        <v>0</v>
      </c>
      <c r="I58" s="1">
        <v>2</v>
      </c>
    </row>
    <row r="59" spans="2:10" x14ac:dyDescent="0.3">
      <c r="B59" s="1">
        <v>55</v>
      </c>
      <c r="C59" s="1" t="s">
        <v>760</v>
      </c>
      <c r="F59" s="1" t="s">
        <v>24</v>
      </c>
      <c r="G59" s="1" t="s">
        <v>916</v>
      </c>
      <c r="H59" s="1" t="b">
        <v>1</v>
      </c>
      <c r="I59" s="1">
        <v>2</v>
      </c>
      <c r="J59" s="1" t="s">
        <v>876</v>
      </c>
    </row>
    <row r="60" spans="2:10" x14ac:dyDescent="0.3">
      <c r="B60" s="1">
        <v>56</v>
      </c>
      <c r="C60" s="1" t="s">
        <v>788</v>
      </c>
      <c r="D60" s="1" t="s">
        <v>789</v>
      </c>
      <c r="F60" s="1" t="s">
        <v>24</v>
      </c>
      <c r="G60" s="1" t="s">
        <v>915</v>
      </c>
      <c r="H60" s="1" t="b">
        <v>0</v>
      </c>
      <c r="I60" s="1">
        <v>2</v>
      </c>
      <c r="J60" s="1" t="s">
        <v>790</v>
      </c>
    </row>
    <row r="61" spans="2:10" x14ac:dyDescent="0.3">
      <c r="B61" s="1">
        <v>57</v>
      </c>
      <c r="C61" s="1" t="s">
        <v>728</v>
      </c>
      <c r="D61" s="1" t="s">
        <v>729</v>
      </c>
      <c r="E61" s="1">
        <v>40</v>
      </c>
      <c r="F61" s="1" t="s">
        <v>24</v>
      </c>
      <c r="G61" s="1" t="s">
        <v>730</v>
      </c>
      <c r="H61" s="1" t="b">
        <v>0</v>
      </c>
      <c r="I61" s="1">
        <v>2</v>
      </c>
    </row>
    <row r="62" spans="2:10" x14ac:dyDescent="0.3">
      <c r="B62" s="1">
        <v>58</v>
      </c>
      <c r="C62" s="1" t="s">
        <v>731</v>
      </c>
      <c r="F62" s="1" t="s">
        <v>24</v>
      </c>
      <c r="G62" s="1" t="s">
        <v>732</v>
      </c>
      <c r="H62" s="1" t="b">
        <v>1</v>
      </c>
      <c r="I62" s="1">
        <v>2</v>
      </c>
    </row>
    <row r="63" spans="2:10" x14ac:dyDescent="0.3">
      <c r="B63" s="1">
        <v>59</v>
      </c>
      <c r="C63" s="1" t="s">
        <v>733</v>
      </c>
      <c r="D63" s="1" t="s">
        <v>734</v>
      </c>
      <c r="E63" s="1" t="s">
        <v>735</v>
      </c>
      <c r="F63" s="1" t="s">
        <v>24</v>
      </c>
      <c r="G63" s="1" t="s">
        <v>736</v>
      </c>
      <c r="H63" s="1" t="b">
        <v>0</v>
      </c>
      <c r="I63" s="1">
        <v>2</v>
      </c>
    </row>
    <row r="64" spans="2:10" x14ac:dyDescent="0.3">
      <c r="B64" s="1">
        <v>60</v>
      </c>
      <c r="C64" s="1" t="s">
        <v>737</v>
      </c>
      <c r="F64" s="1" t="s">
        <v>24</v>
      </c>
      <c r="G64" s="1" t="s">
        <v>738</v>
      </c>
      <c r="H64" s="1" t="b">
        <v>1</v>
      </c>
      <c r="I64" s="1">
        <v>2</v>
      </c>
      <c r="J64" s="1" t="s">
        <v>877</v>
      </c>
    </row>
    <row r="65" spans="2:10" x14ac:dyDescent="0.3">
      <c r="B65" s="1">
        <v>61</v>
      </c>
      <c r="C65" s="1" t="s">
        <v>788</v>
      </c>
      <c r="D65" s="1" t="s">
        <v>789</v>
      </c>
      <c r="F65" s="1" t="s">
        <v>24</v>
      </c>
      <c r="G65" s="1" t="s">
        <v>915</v>
      </c>
      <c r="H65" s="1" t="b">
        <v>0</v>
      </c>
      <c r="I65" s="1">
        <v>2</v>
      </c>
      <c r="J65" s="1" t="s">
        <v>791</v>
      </c>
    </row>
    <row r="66" spans="2:10" x14ac:dyDescent="0.3">
      <c r="B66" s="1">
        <v>62</v>
      </c>
      <c r="C66" s="1" t="s">
        <v>728</v>
      </c>
      <c r="D66" s="1" t="s">
        <v>729</v>
      </c>
      <c r="E66" s="1">
        <v>40</v>
      </c>
      <c r="F66" s="1" t="s">
        <v>24</v>
      </c>
      <c r="G66" s="1" t="s">
        <v>730</v>
      </c>
      <c r="H66" s="1" t="b">
        <v>0</v>
      </c>
      <c r="I66" s="1">
        <v>2</v>
      </c>
    </row>
    <row r="67" spans="2:10" x14ac:dyDescent="0.3">
      <c r="B67" s="1">
        <v>63</v>
      </c>
      <c r="C67" s="1" t="s">
        <v>731</v>
      </c>
      <c r="F67" s="1" t="s">
        <v>24</v>
      </c>
      <c r="G67" s="1" t="s">
        <v>732</v>
      </c>
      <c r="H67" s="1" t="b">
        <v>1</v>
      </c>
      <c r="I67" s="1">
        <v>2</v>
      </c>
      <c r="J67" s="1" t="s">
        <v>878</v>
      </c>
    </row>
    <row r="68" spans="2:10" x14ac:dyDescent="0.3">
      <c r="B68" s="1">
        <v>64</v>
      </c>
      <c r="C68" s="1" t="s">
        <v>780</v>
      </c>
      <c r="D68" s="1" t="s">
        <v>766</v>
      </c>
      <c r="F68" s="1" t="s">
        <v>24</v>
      </c>
      <c r="G68" s="1" t="s">
        <v>767</v>
      </c>
      <c r="H68" s="1" t="b">
        <v>0</v>
      </c>
      <c r="I68" s="1">
        <v>2</v>
      </c>
    </row>
    <row r="69" spans="2:10" x14ac:dyDescent="0.3">
      <c r="B69" s="1">
        <v>65</v>
      </c>
      <c r="C69" s="1" t="s">
        <v>792</v>
      </c>
      <c r="D69" s="1" t="s">
        <v>793</v>
      </c>
      <c r="F69" s="1" t="s">
        <v>24</v>
      </c>
      <c r="G69" s="1" t="s">
        <v>917</v>
      </c>
      <c r="H69" s="1" t="b">
        <v>0</v>
      </c>
      <c r="I69" s="1">
        <v>2</v>
      </c>
      <c r="J69" s="1" t="s">
        <v>879</v>
      </c>
    </row>
    <row r="70" spans="2:10" x14ac:dyDescent="0.3">
      <c r="B70" s="1">
        <v>66</v>
      </c>
      <c r="C70" s="1" t="s">
        <v>768</v>
      </c>
      <c r="D70" s="1" t="s">
        <v>769</v>
      </c>
      <c r="F70" s="1" t="s">
        <v>24</v>
      </c>
      <c r="G70" s="1" t="s">
        <v>918</v>
      </c>
      <c r="H70" s="1" t="b">
        <v>0</v>
      </c>
      <c r="I70" s="1">
        <v>2</v>
      </c>
      <c r="J70" s="1" t="s">
        <v>880</v>
      </c>
    </row>
    <row r="71" spans="2:10" x14ac:dyDescent="0.3">
      <c r="B71" s="1">
        <v>67</v>
      </c>
      <c r="C71" s="1" t="s">
        <v>792</v>
      </c>
      <c r="D71" s="1" t="s">
        <v>793</v>
      </c>
      <c r="F71" s="1" t="s">
        <v>24</v>
      </c>
      <c r="G71" s="1" t="s">
        <v>917</v>
      </c>
      <c r="H71" s="1" t="b">
        <v>0</v>
      </c>
      <c r="I71" s="1">
        <v>2</v>
      </c>
      <c r="J71" s="1" t="s">
        <v>794</v>
      </c>
    </row>
    <row r="72" spans="2:10" x14ac:dyDescent="0.3">
      <c r="B72" s="1">
        <v>68</v>
      </c>
      <c r="C72" s="1" t="s">
        <v>770</v>
      </c>
      <c r="D72" s="1" t="s">
        <v>771</v>
      </c>
      <c r="F72" s="1" t="s">
        <v>24</v>
      </c>
      <c r="G72" s="1" t="s">
        <v>919</v>
      </c>
      <c r="H72" s="1" t="b">
        <v>0</v>
      </c>
      <c r="I72" s="1">
        <v>2</v>
      </c>
      <c r="J72" s="1" t="s">
        <v>881</v>
      </c>
    </row>
    <row r="73" spans="2:10" x14ac:dyDescent="0.3">
      <c r="B73" s="1">
        <v>69</v>
      </c>
      <c r="C73" s="1" t="s">
        <v>724</v>
      </c>
      <c r="D73" s="1" t="s">
        <v>725</v>
      </c>
      <c r="F73" s="1" t="s">
        <v>726</v>
      </c>
      <c r="G73" s="1" t="s">
        <v>727</v>
      </c>
      <c r="H73" s="1" t="b">
        <v>0</v>
      </c>
      <c r="I73" s="1">
        <v>2</v>
      </c>
      <c r="J73" s="1" t="s">
        <v>882</v>
      </c>
    </row>
    <row r="74" spans="2:10" x14ac:dyDescent="0.3">
      <c r="B74" s="1">
        <v>70</v>
      </c>
      <c r="C74" s="1" t="s">
        <v>792</v>
      </c>
      <c r="D74" s="1" t="s">
        <v>793</v>
      </c>
      <c r="F74" s="1" t="s">
        <v>24</v>
      </c>
      <c r="G74" s="1" t="s">
        <v>917</v>
      </c>
      <c r="H74" s="1" t="b">
        <v>0</v>
      </c>
      <c r="I74" s="1">
        <v>2</v>
      </c>
      <c r="J74" s="1" t="s">
        <v>795</v>
      </c>
    </row>
    <row r="75" spans="2:10" x14ac:dyDescent="0.3">
      <c r="B75" s="1">
        <v>71</v>
      </c>
      <c r="C75" s="1" t="s">
        <v>772</v>
      </c>
      <c r="D75" s="1" t="s">
        <v>773</v>
      </c>
      <c r="F75" s="1" t="s">
        <v>24</v>
      </c>
      <c r="G75" s="1" t="s">
        <v>774</v>
      </c>
      <c r="H75" s="1" t="b">
        <v>0</v>
      </c>
      <c r="I75" s="1">
        <v>2</v>
      </c>
    </row>
    <row r="76" spans="2:10" x14ac:dyDescent="0.3">
      <c r="B76" s="1">
        <v>72</v>
      </c>
      <c r="C76" s="1" t="s">
        <v>781</v>
      </c>
      <c r="D76" s="1" t="s">
        <v>775</v>
      </c>
      <c r="E76" s="1">
        <v>1500</v>
      </c>
      <c r="F76" s="1" t="s">
        <v>24</v>
      </c>
      <c r="G76" s="1" t="s">
        <v>776</v>
      </c>
      <c r="H76" s="1" t="b">
        <v>0</v>
      </c>
      <c r="I76" s="1">
        <v>2</v>
      </c>
    </row>
    <row r="77" spans="2:10" x14ac:dyDescent="0.3">
      <c r="B77" s="1">
        <v>73</v>
      </c>
      <c r="C77" s="1" t="s">
        <v>777</v>
      </c>
      <c r="F77" s="1" t="s">
        <v>24</v>
      </c>
      <c r="G77" s="1" t="s">
        <v>755</v>
      </c>
      <c r="H77" s="1" t="b">
        <v>1</v>
      </c>
      <c r="I77" s="1">
        <v>2</v>
      </c>
    </row>
    <row r="78" spans="2:10" x14ac:dyDescent="0.3">
      <c r="B78" s="1">
        <v>74</v>
      </c>
      <c r="C78" s="1" t="s">
        <v>782</v>
      </c>
      <c r="D78" s="1" t="s">
        <v>783</v>
      </c>
      <c r="F78" s="1" t="s">
        <v>24</v>
      </c>
      <c r="G78" s="1" t="s">
        <v>784</v>
      </c>
      <c r="H78" s="1" t="b">
        <v>0</v>
      </c>
      <c r="I78" s="1">
        <v>2</v>
      </c>
    </row>
    <row r="79" spans="2:10" x14ac:dyDescent="0.3">
      <c r="B79" s="1">
        <v>75</v>
      </c>
      <c r="C79" s="1" t="s">
        <v>100</v>
      </c>
      <c r="D79" s="1" t="s">
        <v>101</v>
      </c>
      <c r="F79" s="1" t="s">
        <v>24</v>
      </c>
      <c r="G79" s="1" t="s">
        <v>102</v>
      </c>
      <c r="H79" s="1" t="b">
        <v>0</v>
      </c>
      <c r="I79" s="1">
        <v>2</v>
      </c>
    </row>
    <row r="80" spans="2:10" x14ac:dyDescent="0.3">
      <c r="B80" s="1">
        <v>76</v>
      </c>
      <c r="C80" s="1" t="s">
        <v>103</v>
      </c>
      <c r="D80" s="1" t="s">
        <v>104</v>
      </c>
      <c r="F80" s="1" t="s">
        <v>105</v>
      </c>
      <c r="G80" s="1" t="s">
        <v>106</v>
      </c>
      <c r="H80" s="1" t="b">
        <v>0</v>
      </c>
      <c r="I80" s="1">
        <v>2</v>
      </c>
    </row>
    <row r="81" spans="2:10" x14ac:dyDescent="0.3">
      <c r="B81" s="1">
        <v>77</v>
      </c>
      <c r="C81" s="1" t="s">
        <v>517</v>
      </c>
      <c r="D81" s="1" t="s">
        <v>518</v>
      </c>
      <c r="F81" s="1" t="s">
        <v>24</v>
      </c>
      <c r="G81" s="1" t="s">
        <v>519</v>
      </c>
      <c r="H81" s="1" t="b">
        <v>0</v>
      </c>
      <c r="I81" s="1">
        <v>2</v>
      </c>
    </row>
    <row r="82" spans="2:10" x14ac:dyDescent="0.3">
      <c r="B82" s="1">
        <v>78</v>
      </c>
      <c r="C82" s="1" t="s">
        <v>800</v>
      </c>
      <c r="F82" s="1" t="s">
        <v>24</v>
      </c>
      <c r="G82" s="1" t="s">
        <v>920</v>
      </c>
      <c r="H82" s="1" t="b">
        <v>1</v>
      </c>
      <c r="I82" s="1">
        <v>2</v>
      </c>
      <c r="J82" s="1" t="s">
        <v>883</v>
      </c>
    </row>
    <row r="83" spans="2:10" x14ac:dyDescent="0.3">
      <c r="B83" s="1">
        <v>79</v>
      </c>
      <c r="C83" s="1" t="s">
        <v>117</v>
      </c>
      <c r="D83" s="1" t="s">
        <v>118</v>
      </c>
      <c r="F83" s="1" t="s">
        <v>24</v>
      </c>
      <c r="G83" s="1" t="s">
        <v>502</v>
      </c>
      <c r="H83" s="1" t="b">
        <v>0</v>
      </c>
      <c r="I83" s="1">
        <v>2</v>
      </c>
    </row>
    <row r="84" spans="2:10" x14ac:dyDescent="0.3">
      <c r="B84" s="1">
        <v>80</v>
      </c>
      <c r="C84" s="1" t="s">
        <v>722</v>
      </c>
      <c r="D84" s="1" t="s">
        <v>723</v>
      </c>
      <c r="E84" s="1" t="s">
        <v>739</v>
      </c>
      <c r="F84" s="1" t="s">
        <v>24</v>
      </c>
      <c r="G84" s="1" t="s">
        <v>740</v>
      </c>
      <c r="H84" s="1" t="b">
        <v>0</v>
      </c>
      <c r="I84" s="1">
        <v>2</v>
      </c>
    </row>
    <row r="85" spans="2:10" x14ac:dyDescent="0.3">
      <c r="B85" s="1">
        <v>81</v>
      </c>
      <c r="C85" s="1" t="s">
        <v>741</v>
      </c>
      <c r="F85" s="1" t="s">
        <v>24</v>
      </c>
      <c r="G85" s="1" t="s">
        <v>742</v>
      </c>
      <c r="H85" s="1" t="b">
        <v>1</v>
      </c>
      <c r="I85" s="1">
        <v>2</v>
      </c>
    </row>
    <row r="86" spans="2:10" x14ac:dyDescent="0.3">
      <c r="B86" s="1">
        <v>82</v>
      </c>
      <c r="C86" s="1" t="s">
        <v>801</v>
      </c>
      <c r="D86" s="1" t="s">
        <v>802</v>
      </c>
      <c r="F86" s="1" t="s">
        <v>24</v>
      </c>
      <c r="G86" s="1" t="s">
        <v>921</v>
      </c>
      <c r="H86" s="1" t="b">
        <v>0</v>
      </c>
      <c r="I86" s="1">
        <v>2</v>
      </c>
      <c r="J86" s="1" t="s">
        <v>884</v>
      </c>
    </row>
    <row r="87" spans="2:10" x14ac:dyDescent="0.3">
      <c r="B87" s="1">
        <v>83</v>
      </c>
      <c r="C87" s="1" t="s">
        <v>803</v>
      </c>
      <c r="F87" s="1" t="s">
        <v>726</v>
      </c>
      <c r="G87" s="1" t="s">
        <v>922</v>
      </c>
      <c r="H87" s="1" t="b">
        <v>0</v>
      </c>
      <c r="I87" s="1">
        <v>2</v>
      </c>
      <c r="J87" s="1" t="s">
        <v>885</v>
      </c>
    </row>
    <row r="88" spans="2:10" x14ac:dyDescent="0.3">
      <c r="B88" s="1">
        <v>84</v>
      </c>
      <c r="C88" s="1" t="s">
        <v>724</v>
      </c>
      <c r="D88" s="1" t="s">
        <v>725</v>
      </c>
      <c r="F88" s="1" t="s">
        <v>726</v>
      </c>
      <c r="G88" s="1" t="s">
        <v>727</v>
      </c>
      <c r="H88" s="1" t="b">
        <v>0</v>
      </c>
      <c r="I88" s="1">
        <v>2</v>
      </c>
      <c r="J88" s="1" t="s">
        <v>886</v>
      </c>
    </row>
    <row r="89" spans="2:10" x14ac:dyDescent="0.3">
      <c r="B89" s="1">
        <v>85</v>
      </c>
      <c r="C89" s="1" t="s">
        <v>757</v>
      </c>
      <c r="D89" s="1" t="s">
        <v>758</v>
      </c>
      <c r="F89" s="1" t="s">
        <v>24</v>
      </c>
      <c r="G89" s="1" t="s">
        <v>913</v>
      </c>
      <c r="H89" s="1" t="b">
        <v>0</v>
      </c>
      <c r="I89" s="1">
        <v>2</v>
      </c>
      <c r="J89" s="1" t="s">
        <v>804</v>
      </c>
    </row>
    <row r="90" spans="2:10" x14ac:dyDescent="0.3">
      <c r="B90" s="1">
        <v>86</v>
      </c>
      <c r="C90" s="1" t="s">
        <v>757</v>
      </c>
      <c r="D90" s="1" t="s">
        <v>758</v>
      </c>
      <c r="F90" s="1" t="s">
        <v>24</v>
      </c>
      <c r="G90" s="1" t="s">
        <v>913</v>
      </c>
      <c r="H90" s="1" t="b">
        <v>0</v>
      </c>
      <c r="I90" s="1">
        <v>2</v>
      </c>
      <c r="J90" s="1" t="s">
        <v>805</v>
      </c>
    </row>
    <row r="91" spans="2:10" x14ac:dyDescent="0.3">
      <c r="B91" s="1">
        <v>87</v>
      </c>
      <c r="C91" s="1" t="s">
        <v>757</v>
      </c>
      <c r="D91" s="1" t="s">
        <v>758</v>
      </c>
      <c r="F91" s="1" t="s">
        <v>24</v>
      </c>
      <c r="G91" s="1" t="s">
        <v>913</v>
      </c>
      <c r="H91" s="1" t="b">
        <v>0</v>
      </c>
      <c r="I91" s="1">
        <v>2</v>
      </c>
      <c r="J91" s="1" t="s">
        <v>787</v>
      </c>
    </row>
    <row r="92" spans="2:10" x14ac:dyDescent="0.3">
      <c r="B92" s="1">
        <v>88</v>
      </c>
      <c r="C92" s="1" t="s">
        <v>778</v>
      </c>
      <c r="D92" s="1" t="s">
        <v>779</v>
      </c>
      <c r="E92" s="1">
        <v>40</v>
      </c>
      <c r="F92" s="1" t="s">
        <v>24</v>
      </c>
      <c r="G92" s="1" t="s">
        <v>865</v>
      </c>
      <c r="H92" s="1" t="b">
        <v>0</v>
      </c>
      <c r="I92" s="1">
        <v>2</v>
      </c>
      <c r="J92" s="1" t="s">
        <v>873</v>
      </c>
    </row>
    <row r="93" spans="2:10" x14ac:dyDescent="0.3">
      <c r="B93" s="1">
        <v>89</v>
      </c>
      <c r="C93" s="1" t="s">
        <v>761</v>
      </c>
      <c r="F93" s="1" t="s">
        <v>24</v>
      </c>
      <c r="G93" s="1" t="s">
        <v>732</v>
      </c>
      <c r="H93" s="1" t="b">
        <v>1</v>
      </c>
      <c r="I93" s="1">
        <v>2</v>
      </c>
    </row>
    <row r="94" spans="2:10" x14ac:dyDescent="0.3">
      <c r="B94" s="1">
        <v>90</v>
      </c>
      <c r="C94" s="1" t="s">
        <v>806</v>
      </c>
      <c r="F94" s="1" t="s">
        <v>726</v>
      </c>
      <c r="G94" s="1" t="s">
        <v>923</v>
      </c>
      <c r="H94" s="1" t="b">
        <v>0</v>
      </c>
      <c r="I94" s="1">
        <v>2</v>
      </c>
      <c r="J94" s="1" t="s">
        <v>887</v>
      </c>
    </row>
    <row r="95" spans="2:10" x14ac:dyDescent="0.3">
      <c r="B95" s="1">
        <v>91</v>
      </c>
      <c r="C95" s="1" t="s">
        <v>762</v>
      </c>
      <c r="D95" s="1" t="s">
        <v>763</v>
      </c>
      <c r="E95" s="1">
        <v>200</v>
      </c>
      <c r="F95" s="1" t="s">
        <v>24</v>
      </c>
      <c r="G95" s="1" t="s">
        <v>764</v>
      </c>
      <c r="H95" s="1" t="b">
        <v>0</v>
      </c>
      <c r="I95" s="1">
        <v>2</v>
      </c>
    </row>
    <row r="96" spans="2:10" x14ac:dyDescent="0.3">
      <c r="B96" s="1">
        <v>92</v>
      </c>
      <c r="C96" s="1" t="s">
        <v>765</v>
      </c>
      <c r="F96" s="1" t="s">
        <v>24</v>
      </c>
      <c r="G96" s="1" t="s">
        <v>914</v>
      </c>
      <c r="H96" s="1" t="b">
        <v>1</v>
      </c>
      <c r="I96" s="1">
        <v>2</v>
      </c>
      <c r="J96" s="1" t="s">
        <v>888</v>
      </c>
    </row>
    <row r="97" spans="2:10" x14ac:dyDescent="0.3">
      <c r="B97" s="1">
        <v>93</v>
      </c>
      <c r="C97" s="1" t="s">
        <v>788</v>
      </c>
      <c r="D97" s="1" t="s">
        <v>789</v>
      </c>
      <c r="F97" s="1" t="s">
        <v>24</v>
      </c>
      <c r="G97" s="1" t="s">
        <v>915</v>
      </c>
      <c r="H97" s="1" t="b">
        <v>0</v>
      </c>
      <c r="I97" s="1">
        <v>2</v>
      </c>
      <c r="J97" s="1" t="s">
        <v>807</v>
      </c>
    </row>
    <row r="98" spans="2:10" x14ac:dyDescent="0.3">
      <c r="B98" s="1">
        <v>94</v>
      </c>
      <c r="C98" s="1" t="s">
        <v>728</v>
      </c>
      <c r="D98" s="1" t="s">
        <v>729</v>
      </c>
      <c r="E98" s="1">
        <v>40</v>
      </c>
      <c r="F98" s="1" t="s">
        <v>24</v>
      </c>
      <c r="G98" s="1" t="s">
        <v>730</v>
      </c>
      <c r="H98" s="1" t="b">
        <v>0</v>
      </c>
      <c r="I98" s="1">
        <v>2</v>
      </c>
    </row>
    <row r="99" spans="2:10" x14ac:dyDescent="0.3">
      <c r="B99" s="1">
        <v>95</v>
      </c>
      <c r="C99" s="1" t="s">
        <v>731</v>
      </c>
      <c r="F99" s="1" t="s">
        <v>24</v>
      </c>
      <c r="G99" s="1" t="s">
        <v>732</v>
      </c>
      <c r="H99" s="1" t="b">
        <v>1</v>
      </c>
      <c r="I99" s="1">
        <v>2</v>
      </c>
    </row>
    <row r="100" spans="2:10" x14ac:dyDescent="0.3">
      <c r="B100" s="1">
        <v>96</v>
      </c>
      <c r="C100" s="1" t="s">
        <v>733</v>
      </c>
      <c r="D100" s="1" t="s">
        <v>734</v>
      </c>
      <c r="E100" s="1" t="s">
        <v>759</v>
      </c>
      <c r="F100" s="1" t="s">
        <v>24</v>
      </c>
      <c r="G100" s="1" t="s">
        <v>736</v>
      </c>
      <c r="H100" s="1" t="b">
        <v>0</v>
      </c>
      <c r="I100" s="1">
        <v>2</v>
      </c>
    </row>
    <row r="101" spans="2:10" x14ac:dyDescent="0.3">
      <c r="B101" s="1">
        <v>97</v>
      </c>
      <c r="C101" s="1" t="s">
        <v>760</v>
      </c>
      <c r="F101" s="1" t="s">
        <v>24</v>
      </c>
      <c r="G101" s="1" t="s">
        <v>916</v>
      </c>
      <c r="H101" s="1" t="b">
        <v>1</v>
      </c>
      <c r="I101" s="1">
        <v>2</v>
      </c>
      <c r="J101" s="1" t="s">
        <v>876</v>
      </c>
    </row>
    <row r="102" spans="2:10" x14ac:dyDescent="0.3">
      <c r="B102" s="1">
        <v>98</v>
      </c>
      <c r="C102" s="1" t="s">
        <v>788</v>
      </c>
      <c r="D102" s="1" t="s">
        <v>789</v>
      </c>
      <c r="F102" s="1" t="s">
        <v>24</v>
      </c>
      <c r="G102" s="1" t="s">
        <v>915</v>
      </c>
      <c r="H102" s="1" t="b">
        <v>0</v>
      </c>
      <c r="I102" s="1">
        <v>2</v>
      </c>
      <c r="J102" s="1" t="s">
        <v>790</v>
      </c>
    </row>
    <row r="103" spans="2:10" x14ac:dyDescent="0.3">
      <c r="B103" s="1">
        <v>99</v>
      </c>
      <c r="C103" s="1" t="s">
        <v>728</v>
      </c>
      <c r="D103" s="1" t="s">
        <v>729</v>
      </c>
      <c r="E103" s="1">
        <v>40</v>
      </c>
      <c r="F103" s="1" t="s">
        <v>24</v>
      </c>
      <c r="G103" s="1" t="s">
        <v>730</v>
      </c>
      <c r="H103" s="1" t="b">
        <v>0</v>
      </c>
      <c r="I103" s="1">
        <v>2</v>
      </c>
    </row>
    <row r="104" spans="2:10" x14ac:dyDescent="0.3">
      <c r="B104" s="1">
        <v>100</v>
      </c>
      <c r="C104" s="1" t="s">
        <v>731</v>
      </c>
      <c r="F104" s="1" t="s">
        <v>24</v>
      </c>
      <c r="G104" s="1" t="s">
        <v>732</v>
      </c>
      <c r="H104" s="1" t="b">
        <v>1</v>
      </c>
      <c r="I104" s="1">
        <v>2</v>
      </c>
    </row>
    <row r="105" spans="2:10" x14ac:dyDescent="0.3">
      <c r="B105" s="1">
        <v>101</v>
      </c>
      <c r="C105" s="1" t="s">
        <v>733</v>
      </c>
      <c r="D105" s="1" t="s">
        <v>734</v>
      </c>
      <c r="E105" s="1" t="s">
        <v>735</v>
      </c>
      <c r="F105" s="1" t="s">
        <v>24</v>
      </c>
      <c r="G105" s="1" t="s">
        <v>736</v>
      </c>
      <c r="H105" s="1" t="b">
        <v>0</v>
      </c>
      <c r="I105" s="1">
        <v>2</v>
      </c>
    </row>
    <row r="106" spans="2:10" x14ac:dyDescent="0.3">
      <c r="B106" s="1">
        <v>102</v>
      </c>
      <c r="C106" s="1" t="s">
        <v>737</v>
      </c>
      <c r="F106" s="1" t="s">
        <v>24</v>
      </c>
      <c r="G106" s="1" t="s">
        <v>738</v>
      </c>
      <c r="H106" s="1" t="b">
        <v>1</v>
      </c>
      <c r="I106" s="1">
        <v>2</v>
      </c>
      <c r="J106" s="1" t="s">
        <v>877</v>
      </c>
    </row>
    <row r="107" spans="2:10" x14ac:dyDescent="0.3">
      <c r="B107" s="1">
        <v>103</v>
      </c>
      <c r="C107" s="1" t="s">
        <v>788</v>
      </c>
      <c r="D107" s="1" t="s">
        <v>789</v>
      </c>
      <c r="F107" s="1" t="s">
        <v>24</v>
      </c>
      <c r="G107" s="1" t="s">
        <v>915</v>
      </c>
      <c r="H107" s="1" t="b">
        <v>0</v>
      </c>
      <c r="I107" s="1">
        <v>2</v>
      </c>
      <c r="J107" s="1" t="s">
        <v>791</v>
      </c>
    </row>
    <row r="108" spans="2:10" x14ac:dyDescent="0.3">
      <c r="B108" s="1">
        <v>104</v>
      </c>
      <c r="C108" s="1" t="s">
        <v>728</v>
      </c>
      <c r="D108" s="1" t="s">
        <v>729</v>
      </c>
      <c r="E108" s="1">
        <v>40</v>
      </c>
      <c r="F108" s="1" t="s">
        <v>24</v>
      </c>
      <c r="G108" s="1" t="s">
        <v>730</v>
      </c>
      <c r="H108" s="1" t="b">
        <v>0</v>
      </c>
      <c r="I108" s="1">
        <v>2</v>
      </c>
    </row>
    <row r="109" spans="2:10" x14ac:dyDescent="0.3">
      <c r="B109" s="1">
        <v>105</v>
      </c>
      <c r="C109" s="1" t="s">
        <v>731</v>
      </c>
      <c r="F109" s="1" t="s">
        <v>24</v>
      </c>
      <c r="G109" s="1" t="s">
        <v>732</v>
      </c>
      <c r="H109" s="1" t="b">
        <v>1</v>
      </c>
      <c r="I109" s="1">
        <v>2</v>
      </c>
      <c r="J109" s="1" t="s">
        <v>878</v>
      </c>
    </row>
    <row r="110" spans="2:10" x14ac:dyDescent="0.3">
      <c r="B110" s="1">
        <v>106</v>
      </c>
      <c r="C110" s="1" t="s">
        <v>808</v>
      </c>
      <c r="D110" s="1" t="s">
        <v>809</v>
      </c>
      <c r="F110" s="1" t="s">
        <v>24</v>
      </c>
      <c r="G110" s="1" t="s">
        <v>924</v>
      </c>
      <c r="H110" s="1" t="b">
        <v>0</v>
      </c>
      <c r="I110" s="1">
        <v>2</v>
      </c>
    </row>
    <row r="111" spans="2:10" x14ac:dyDescent="0.3">
      <c r="B111" s="1">
        <v>107</v>
      </c>
      <c r="C111" s="1" t="s">
        <v>792</v>
      </c>
      <c r="D111" s="1" t="s">
        <v>793</v>
      </c>
      <c r="F111" s="1" t="s">
        <v>24</v>
      </c>
      <c r="G111" s="1" t="s">
        <v>917</v>
      </c>
      <c r="H111" s="1" t="b">
        <v>0</v>
      </c>
      <c r="I111" s="1">
        <v>2</v>
      </c>
      <c r="J111" s="1" t="s">
        <v>810</v>
      </c>
    </row>
    <row r="112" spans="2:10" x14ac:dyDescent="0.3">
      <c r="B112" s="1">
        <v>108</v>
      </c>
      <c r="C112" s="1" t="s">
        <v>768</v>
      </c>
      <c r="D112" s="1" t="s">
        <v>769</v>
      </c>
      <c r="F112" s="1" t="s">
        <v>24</v>
      </c>
      <c r="G112" s="1" t="s">
        <v>918</v>
      </c>
      <c r="H112" s="1" t="b">
        <v>0</v>
      </c>
      <c r="I112" s="1">
        <v>2</v>
      </c>
      <c r="J112" s="1" t="s">
        <v>889</v>
      </c>
    </row>
    <row r="113" spans="2:10" x14ac:dyDescent="0.3">
      <c r="B113" s="1">
        <v>109</v>
      </c>
      <c r="C113" s="1" t="s">
        <v>792</v>
      </c>
      <c r="D113" s="1" t="s">
        <v>793</v>
      </c>
      <c r="F113" s="1" t="s">
        <v>24</v>
      </c>
      <c r="G113" s="1" t="s">
        <v>917</v>
      </c>
      <c r="H113" s="1" t="b">
        <v>0</v>
      </c>
      <c r="I113" s="1">
        <v>2</v>
      </c>
      <c r="J113" s="1" t="s">
        <v>794</v>
      </c>
    </row>
    <row r="114" spans="2:10" x14ac:dyDescent="0.3">
      <c r="B114" s="1">
        <v>110</v>
      </c>
      <c r="C114" s="1" t="s">
        <v>770</v>
      </c>
      <c r="D114" s="1" t="s">
        <v>771</v>
      </c>
      <c r="F114" s="1" t="s">
        <v>24</v>
      </c>
      <c r="G114" s="1" t="s">
        <v>919</v>
      </c>
      <c r="H114" s="1" t="b">
        <v>0</v>
      </c>
      <c r="I114" s="1">
        <v>2</v>
      </c>
      <c r="J114" s="1" t="s">
        <v>881</v>
      </c>
    </row>
    <row r="115" spans="2:10" x14ac:dyDescent="0.3">
      <c r="B115" s="1">
        <v>111</v>
      </c>
      <c r="C115" s="1" t="s">
        <v>724</v>
      </c>
      <c r="D115" s="1" t="s">
        <v>725</v>
      </c>
      <c r="F115" s="1" t="s">
        <v>726</v>
      </c>
      <c r="G115" s="1" t="s">
        <v>727</v>
      </c>
      <c r="H115" s="1" t="b">
        <v>0</v>
      </c>
      <c r="I115" s="1">
        <v>2</v>
      </c>
      <c r="J115" s="1" t="s">
        <v>890</v>
      </c>
    </row>
    <row r="116" spans="2:10" x14ac:dyDescent="0.3">
      <c r="B116" s="1">
        <v>112</v>
      </c>
      <c r="C116" s="1" t="s">
        <v>792</v>
      </c>
      <c r="D116" s="1" t="s">
        <v>793</v>
      </c>
      <c r="F116" s="1" t="s">
        <v>24</v>
      </c>
      <c r="G116" s="1" t="s">
        <v>917</v>
      </c>
      <c r="H116" s="1" t="b">
        <v>0</v>
      </c>
      <c r="I116" s="1">
        <v>2</v>
      </c>
      <c r="J116" s="1" t="s">
        <v>795</v>
      </c>
    </row>
    <row r="117" spans="2:10" x14ac:dyDescent="0.3">
      <c r="B117" s="1">
        <v>113</v>
      </c>
      <c r="C117" s="1" t="s">
        <v>772</v>
      </c>
      <c r="D117" s="1" t="s">
        <v>773</v>
      </c>
      <c r="F117" s="1" t="s">
        <v>24</v>
      </c>
      <c r="G117" s="1" t="s">
        <v>774</v>
      </c>
      <c r="H117" s="1" t="b">
        <v>0</v>
      </c>
      <c r="I117" s="1">
        <v>2</v>
      </c>
    </row>
    <row r="118" spans="2:10" x14ac:dyDescent="0.3">
      <c r="B118" s="1">
        <v>114</v>
      </c>
      <c r="C118" s="1" t="s">
        <v>781</v>
      </c>
      <c r="D118" s="1" t="s">
        <v>775</v>
      </c>
      <c r="E118" s="1">
        <v>1500</v>
      </c>
      <c r="F118" s="1" t="s">
        <v>24</v>
      </c>
      <c r="G118" s="1" t="s">
        <v>776</v>
      </c>
      <c r="H118" s="1" t="b">
        <v>0</v>
      </c>
      <c r="I118" s="1">
        <v>2</v>
      </c>
    </row>
    <row r="119" spans="2:10" x14ac:dyDescent="0.3">
      <c r="B119" s="1">
        <v>115</v>
      </c>
      <c r="C119" s="1" t="s">
        <v>777</v>
      </c>
      <c r="F119" s="1" t="s">
        <v>24</v>
      </c>
      <c r="G119" s="1" t="s">
        <v>755</v>
      </c>
      <c r="H119" s="1" t="b">
        <v>1</v>
      </c>
      <c r="I119" s="1">
        <v>2</v>
      </c>
    </row>
    <row r="120" spans="2:10" x14ac:dyDescent="0.3">
      <c r="B120" s="1">
        <v>116</v>
      </c>
      <c r="C120" s="1" t="s">
        <v>806</v>
      </c>
      <c r="F120" s="1" t="s">
        <v>726</v>
      </c>
      <c r="G120" s="1" t="s">
        <v>923</v>
      </c>
      <c r="H120" s="1" t="b">
        <v>0</v>
      </c>
      <c r="I120" s="1">
        <v>2</v>
      </c>
      <c r="J120" s="1" t="s">
        <v>891</v>
      </c>
    </row>
    <row r="121" spans="2:10" x14ac:dyDescent="0.3">
      <c r="B121" s="1">
        <v>117</v>
      </c>
      <c r="C121" s="1" t="s">
        <v>811</v>
      </c>
      <c r="D121" s="1" t="s">
        <v>812</v>
      </c>
      <c r="F121" s="1" t="s">
        <v>24</v>
      </c>
      <c r="G121" s="1" t="s">
        <v>925</v>
      </c>
      <c r="H121" s="1" t="b">
        <v>0</v>
      </c>
      <c r="I121" s="1">
        <v>2</v>
      </c>
      <c r="J121" s="1" t="s">
        <v>892</v>
      </c>
    </row>
    <row r="122" spans="2:10" x14ac:dyDescent="0.3">
      <c r="B122" s="1">
        <v>118</v>
      </c>
      <c r="C122" s="1" t="s">
        <v>757</v>
      </c>
      <c r="D122" s="1" t="s">
        <v>758</v>
      </c>
      <c r="F122" s="1" t="s">
        <v>24</v>
      </c>
      <c r="G122" s="1" t="s">
        <v>913</v>
      </c>
      <c r="H122" s="1" t="b">
        <v>0</v>
      </c>
      <c r="I122" s="1">
        <v>4</v>
      </c>
      <c r="J122" s="1" t="s">
        <v>988</v>
      </c>
    </row>
    <row r="123" spans="2:10" x14ac:dyDescent="0.3">
      <c r="B123" s="1">
        <v>119</v>
      </c>
      <c r="C123" s="1" t="s">
        <v>788</v>
      </c>
      <c r="D123" s="1" t="s">
        <v>789</v>
      </c>
      <c r="F123" s="1" t="s">
        <v>24</v>
      </c>
      <c r="G123" s="1" t="s">
        <v>915</v>
      </c>
      <c r="H123" s="1" t="b">
        <v>0</v>
      </c>
      <c r="I123" s="1">
        <v>4</v>
      </c>
      <c r="J123" s="1" t="s">
        <v>989</v>
      </c>
    </row>
    <row r="124" spans="2:10" x14ac:dyDescent="0.3">
      <c r="B124" s="1">
        <v>120</v>
      </c>
      <c r="C124" s="1" t="s">
        <v>813</v>
      </c>
      <c r="D124" s="1" t="s">
        <v>814</v>
      </c>
      <c r="F124" s="1" t="s">
        <v>24</v>
      </c>
      <c r="G124" s="1" t="s">
        <v>815</v>
      </c>
      <c r="H124" s="1" t="b">
        <v>0</v>
      </c>
      <c r="I124" s="1">
        <v>2</v>
      </c>
    </row>
    <row r="125" spans="2:10" x14ac:dyDescent="0.3">
      <c r="B125" s="1">
        <v>121</v>
      </c>
      <c r="C125" s="16" t="s">
        <v>100</v>
      </c>
      <c r="D125" s="1" t="s">
        <v>101</v>
      </c>
      <c r="F125" s="1" t="s">
        <v>24</v>
      </c>
      <c r="G125" s="1" t="s">
        <v>102</v>
      </c>
      <c r="H125" s="1" t="b">
        <v>0</v>
      </c>
      <c r="I125" s="1">
        <v>2</v>
      </c>
    </row>
    <row r="126" spans="2:10" x14ac:dyDescent="0.3">
      <c r="B126" s="1">
        <v>122</v>
      </c>
      <c r="C126" s="1" t="s">
        <v>103</v>
      </c>
      <c r="D126" s="1" t="s">
        <v>104</v>
      </c>
      <c r="F126" s="1" t="s">
        <v>105</v>
      </c>
      <c r="G126" s="1" t="s">
        <v>106</v>
      </c>
      <c r="H126" s="1" t="b">
        <v>0</v>
      </c>
      <c r="I126" s="1">
        <v>2</v>
      </c>
    </row>
    <row r="127" spans="2:10" x14ac:dyDescent="0.3">
      <c r="B127" s="1">
        <v>123</v>
      </c>
      <c r="C127" s="1" t="s">
        <v>535</v>
      </c>
      <c r="D127" s="1" t="s">
        <v>536</v>
      </c>
      <c r="F127" s="1" t="s">
        <v>24</v>
      </c>
      <c r="G127" s="1" t="s">
        <v>537</v>
      </c>
      <c r="H127" s="1" t="b">
        <v>0</v>
      </c>
      <c r="I127" s="1">
        <v>3</v>
      </c>
    </row>
    <row r="128" spans="2:10" x14ac:dyDescent="0.3">
      <c r="B128" s="1">
        <v>124</v>
      </c>
      <c r="C128" s="1" t="s">
        <v>816</v>
      </c>
      <c r="F128" s="1" t="s">
        <v>24</v>
      </c>
      <c r="G128" s="1" t="s">
        <v>817</v>
      </c>
      <c r="H128" s="1" t="b">
        <v>1</v>
      </c>
      <c r="I128" s="1">
        <v>3</v>
      </c>
    </row>
    <row r="129" spans="2:10" x14ac:dyDescent="0.3">
      <c r="B129" s="1">
        <v>125</v>
      </c>
      <c r="C129" s="1" t="s">
        <v>117</v>
      </c>
      <c r="D129" s="1" t="s">
        <v>118</v>
      </c>
      <c r="F129" s="1" t="s">
        <v>24</v>
      </c>
      <c r="G129" s="1" t="s">
        <v>502</v>
      </c>
      <c r="H129" s="1" t="b">
        <v>0</v>
      </c>
      <c r="I129" s="1">
        <v>3</v>
      </c>
    </row>
    <row r="130" spans="2:10" x14ac:dyDescent="0.3">
      <c r="B130" s="1">
        <v>126</v>
      </c>
      <c r="C130" s="1" t="s">
        <v>722</v>
      </c>
      <c r="D130" s="1" t="s">
        <v>723</v>
      </c>
      <c r="E130" s="1" t="s">
        <v>739</v>
      </c>
      <c r="F130" s="1" t="s">
        <v>24</v>
      </c>
      <c r="G130" s="1" t="s">
        <v>740</v>
      </c>
      <c r="H130" s="1" t="b">
        <v>0</v>
      </c>
      <c r="I130" s="1">
        <v>3</v>
      </c>
    </row>
    <row r="131" spans="2:10" x14ac:dyDescent="0.3">
      <c r="B131" s="1">
        <v>127</v>
      </c>
      <c r="C131" s="1" t="s">
        <v>741</v>
      </c>
      <c r="F131" s="1" t="s">
        <v>24</v>
      </c>
      <c r="G131" s="1" t="s">
        <v>742</v>
      </c>
      <c r="H131" s="1" t="b">
        <v>1</v>
      </c>
      <c r="I131" s="1">
        <v>3</v>
      </c>
    </row>
    <row r="132" spans="2:10" x14ac:dyDescent="0.3">
      <c r="B132" s="1">
        <v>128</v>
      </c>
      <c r="C132" s="1" t="s">
        <v>801</v>
      </c>
      <c r="D132" s="1" t="s">
        <v>802</v>
      </c>
      <c r="F132" s="1" t="s">
        <v>24</v>
      </c>
      <c r="G132" s="1" t="s">
        <v>921</v>
      </c>
      <c r="H132" s="1" t="b">
        <v>0</v>
      </c>
      <c r="I132" s="1">
        <v>3</v>
      </c>
      <c r="J132" s="1" t="s">
        <v>884</v>
      </c>
    </row>
    <row r="133" spans="2:10" x14ac:dyDescent="0.3">
      <c r="B133" s="1">
        <v>129</v>
      </c>
      <c r="C133" s="1" t="s">
        <v>803</v>
      </c>
      <c r="F133" s="1" t="s">
        <v>726</v>
      </c>
      <c r="G133" s="1" t="s">
        <v>922</v>
      </c>
      <c r="H133" s="1" t="b">
        <v>0</v>
      </c>
      <c r="I133" s="1">
        <v>3</v>
      </c>
      <c r="J133" s="1" t="s">
        <v>893</v>
      </c>
    </row>
    <row r="134" spans="2:10" x14ac:dyDescent="0.3">
      <c r="B134" s="1">
        <v>130</v>
      </c>
      <c r="C134" s="1" t="s">
        <v>724</v>
      </c>
      <c r="D134" s="1" t="s">
        <v>725</v>
      </c>
      <c r="F134" s="1" t="s">
        <v>726</v>
      </c>
      <c r="G134" s="1" t="s">
        <v>727</v>
      </c>
      <c r="H134" s="1" t="b">
        <v>0</v>
      </c>
      <c r="I134" s="1">
        <v>3</v>
      </c>
      <c r="J134" s="1" t="s">
        <v>894</v>
      </c>
    </row>
    <row r="135" spans="2:10" x14ac:dyDescent="0.3">
      <c r="B135" s="1">
        <v>131</v>
      </c>
      <c r="C135" s="1" t="s">
        <v>728</v>
      </c>
      <c r="D135" s="1" t="s">
        <v>729</v>
      </c>
      <c r="E135" s="1">
        <v>40</v>
      </c>
      <c r="F135" s="1" t="s">
        <v>24</v>
      </c>
      <c r="G135" s="1" t="s">
        <v>730</v>
      </c>
      <c r="H135" s="1" t="b">
        <v>0</v>
      </c>
      <c r="I135" s="1">
        <v>3</v>
      </c>
    </row>
    <row r="136" spans="2:10" x14ac:dyDescent="0.3">
      <c r="B136" s="1">
        <v>132</v>
      </c>
      <c r="C136" s="1" t="s">
        <v>731</v>
      </c>
      <c r="F136" s="1" t="s">
        <v>24</v>
      </c>
      <c r="G136" s="1" t="s">
        <v>732</v>
      </c>
      <c r="H136" s="1" t="b">
        <v>1</v>
      </c>
      <c r="I136" s="1">
        <v>3</v>
      </c>
      <c r="J136" s="1" t="s">
        <v>895</v>
      </c>
    </row>
    <row r="137" spans="2:10" x14ac:dyDescent="0.3">
      <c r="B137" s="1">
        <v>133</v>
      </c>
      <c r="C137" s="1" t="s">
        <v>757</v>
      </c>
      <c r="D137" s="1" t="s">
        <v>758</v>
      </c>
      <c r="F137" s="1" t="s">
        <v>24</v>
      </c>
      <c r="G137" s="1" t="s">
        <v>913</v>
      </c>
      <c r="H137" s="1" t="b">
        <v>0</v>
      </c>
      <c r="I137" s="1">
        <v>3</v>
      </c>
      <c r="J137" s="1" t="s">
        <v>818</v>
      </c>
    </row>
    <row r="138" spans="2:10" x14ac:dyDescent="0.3">
      <c r="B138" s="1">
        <v>134</v>
      </c>
      <c r="C138" s="1" t="s">
        <v>788</v>
      </c>
      <c r="D138" s="1" t="s">
        <v>789</v>
      </c>
      <c r="F138" s="1" t="s">
        <v>24</v>
      </c>
      <c r="G138" s="1" t="s">
        <v>915</v>
      </c>
      <c r="H138" s="1" t="b">
        <v>0</v>
      </c>
      <c r="I138" s="1">
        <v>3</v>
      </c>
      <c r="J138" s="1" t="s">
        <v>791</v>
      </c>
    </row>
    <row r="139" spans="2:10" x14ac:dyDescent="0.3">
      <c r="B139" s="1">
        <v>135</v>
      </c>
      <c r="C139" s="1" t="s">
        <v>808</v>
      </c>
      <c r="D139" s="1" t="s">
        <v>809</v>
      </c>
      <c r="F139" s="1" t="s">
        <v>24</v>
      </c>
      <c r="G139" s="1" t="s">
        <v>924</v>
      </c>
      <c r="H139" s="1" t="b">
        <v>0</v>
      </c>
      <c r="I139" s="1">
        <v>3</v>
      </c>
      <c r="J139" s="1" t="s">
        <v>819</v>
      </c>
    </row>
    <row r="140" spans="2:10" x14ac:dyDescent="0.3">
      <c r="B140" s="1">
        <v>136</v>
      </c>
      <c r="C140" s="1" t="s">
        <v>792</v>
      </c>
      <c r="D140" s="1" t="s">
        <v>793</v>
      </c>
      <c r="F140" s="1" t="s">
        <v>24</v>
      </c>
      <c r="G140" s="1" t="s">
        <v>917</v>
      </c>
      <c r="H140" s="1" t="b">
        <v>0</v>
      </c>
      <c r="I140" s="1">
        <v>3</v>
      </c>
      <c r="J140" s="1" t="s">
        <v>820</v>
      </c>
    </row>
    <row r="141" spans="2:10" x14ac:dyDescent="0.3">
      <c r="B141" s="1">
        <v>137</v>
      </c>
      <c r="C141" s="1" t="s">
        <v>768</v>
      </c>
      <c r="D141" s="1" t="s">
        <v>769</v>
      </c>
      <c r="F141" s="1" t="s">
        <v>24</v>
      </c>
      <c r="G141" s="1" t="s">
        <v>918</v>
      </c>
      <c r="H141" s="1" t="b">
        <v>0</v>
      </c>
      <c r="I141" s="1">
        <v>3</v>
      </c>
      <c r="J141" s="1" t="s">
        <v>896</v>
      </c>
    </row>
    <row r="142" spans="2:10" x14ac:dyDescent="0.3">
      <c r="B142" s="1">
        <v>138</v>
      </c>
      <c r="C142" s="1" t="s">
        <v>733</v>
      </c>
      <c r="D142" s="1" t="s">
        <v>734</v>
      </c>
      <c r="E142" s="1" t="s">
        <v>821</v>
      </c>
      <c r="F142" s="1" t="s">
        <v>24</v>
      </c>
      <c r="G142" s="1" t="s">
        <v>736</v>
      </c>
      <c r="H142" s="1" t="b">
        <v>0</v>
      </c>
      <c r="I142" s="1">
        <v>3</v>
      </c>
    </row>
    <row r="143" spans="2:10" x14ac:dyDescent="0.3">
      <c r="B143" s="1">
        <v>139</v>
      </c>
      <c r="C143" s="1" t="s">
        <v>822</v>
      </c>
      <c r="F143" s="1" t="s">
        <v>24</v>
      </c>
      <c r="G143" s="1" t="s">
        <v>926</v>
      </c>
      <c r="H143" s="1" t="b">
        <v>1</v>
      </c>
      <c r="I143" s="1">
        <v>3</v>
      </c>
      <c r="J143" s="1" t="s">
        <v>897</v>
      </c>
    </row>
    <row r="144" spans="2:10" x14ac:dyDescent="0.3">
      <c r="B144" s="1">
        <v>140</v>
      </c>
      <c r="C144" s="1" t="s">
        <v>757</v>
      </c>
      <c r="D144" s="1" t="s">
        <v>758</v>
      </c>
      <c r="F144" s="1" t="s">
        <v>24</v>
      </c>
      <c r="G144" s="1" t="s">
        <v>913</v>
      </c>
      <c r="H144" s="1" t="b">
        <v>0</v>
      </c>
      <c r="I144" s="1">
        <v>3</v>
      </c>
      <c r="J144" s="1" t="s">
        <v>823</v>
      </c>
    </row>
    <row r="145" spans="2:10" x14ac:dyDescent="0.3">
      <c r="B145" s="1">
        <v>141</v>
      </c>
      <c r="C145" s="1" t="s">
        <v>824</v>
      </c>
      <c r="D145" s="1" t="s">
        <v>825</v>
      </c>
      <c r="F145" s="1" t="s">
        <v>24</v>
      </c>
      <c r="G145" s="1" t="s">
        <v>927</v>
      </c>
      <c r="H145" s="1" t="b">
        <v>0</v>
      </c>
      <c r="I145" s="1">
        <v>3</v>
      </c>
      <c r="J145" s="1" t="s">
        <v>826</v>
      </c>
    </row>
    <row r="146" spans="2:10" x14ac:dyDescent="0.3">
      <c r="B146" s="1">
        <v>142</v>
      </c>
      <c r="C146" s="1" t="s">
        <v>788</v>
      </c>
      <c r="D146" s="1" t="s">
        <v>789</v>
      </c>
      <c r="F146" s="1" t="s">
        <v>24</v>
      </c>
      <c r="G146" s="1" t="s">
        <v>915</v>
      </c>
      <c r="H146" s="1" t="b">
        <v>0</v>
      </c>
      <c r="I146" s="1">
        <v>3</v>
      </c>
      <c r="J146" s="1" t="s">
        <v>827</v>
      </c>
    </row>
    <row r="147" spans="2:10" x14ac:dyDescent="0.3">
      <c r="B147" s="1">
        <v>143</v>
      </c>
      <c r="C147" s="1" t="s">
        <v>828</v>
      </c>
      <c r="D147" s="1" t="s">
        <v>829</v>
      </c>
      <c r="E147" s="1" t="s">
        <v>830</v>
      </c>
      <c r="F147" s="1" t="s">
        <v>24</v>
      </c>
      <c r="G147" s="1" t="s">
        <v>831</v>
      </c>
      <c r="H147" s="1" t="b">
        <v>0</v>
      </c>
      <c r="I147" s="1">
        <v>3</v>
      </c>
    </row>
    <row r="148" spans="2:10" x14ac:dyDescent="0.3">
      <c r="B148" s="1">
        <v>144</v>
      </c>
      <c r="C148" s="1" t="s">
        <v>832</v>
      </c>
      <c r="F148" s="1" t="s">
        <v>24</v>
      </c>
      <c r="G148" s="1" t="s">
        <v>928</v>
      </c>
      <c r="H148" s="1" t="b">
        <v>1</v>
      </c>
      <c r="I148" s="1">
        <v>3</v>
      </c>
      <c r="J148" s="1" t="s">
        <v>898</v>
      </c>
    </row>
    <row r="149" spans="2:10" x14ac:dyDescent="0.3">
      <c r="B149" s="1">
        <v>145</v>
      </c>
      <c r="C149" s="1" t="s">
        <v>792</v>
      </c>
      <c r="D149" s="1" t="s">
        <v>793</v>
      </c>
      <c r="F149" s="1" t="s">
        <v>24</v>
      </c>
      <c r="G149" s="1" t="s">
        <v>917</v>
      </c>
      <c r="H149" s="1" t="b">
        <v>0</v>
      </c>
      <c r="I149" s="1">
        <v>3</v>
      </c>
      <c r="J149" s="1" t="s">
        <v>833</v>
      </c>
    </row>
    <row r="150" spans="2:10" x14ac:dyDescent="0.3">
      <c r="B150" s="1">
        <v>146</v>
      </c>
      <c r="C150" s="1" t="s">
        <v>770</v>
      </c>
      <c r="D150" s="1" t="s">
        <v>771</v>
      </c>
      <c r="F150" s="1" t="s">
        <v>24</v>
      </c>
      <c r="G150" s="1" t="s">
        <v>919</v>
      </c>
      <c r="H150" s="1" t="b">
        <v>0</v>
      </c>
      <c r="I150" s="1">
        <v>3</v>
      </c>
      <c r="J150" s="1" t="s">
        <v>834</v>
      </c>
    </row>
    <row r="151" spans="2:10" x14ac:dyDescent="0.3">
      <c r="B151" s="1">
        <v>147</v>
      </c>
      <c r="C151" s="1" t="s">
        <v>835</v>
      </c>
      <c r="D151" s="1" t="s">
        <v>836</v>
      </c>
      <c r="E151" s="1" t="s">
        <v>837</v>
      </c>
      <c r="F151" s="1" t="s">
        <v>24</v>
      </c>
      <c r="G151" s="1" t="s">
        <v>838</v>
      </c>
      <c r="H151" s="1" t="b">
        <v>0</v>
      </c>
      <c r="I151" s="1">
        <v>3</v>
      </c>
    </row>
    <row r="152" spans="2:10" x14ac:dyDescent="0.3">
      <c r="B152" s="1">
        <v>148</v>
      </c>
      <c r="C152" s="1" t="s">
        <v>839</v>
      </c>
      <c r="F152" s="1" t="s">
        <v>24</v>
      </c>
      <c r="G152" s="1" t="s">
        <v>929</v>
      </c>
      <c r="H152" s="1" t="b">
        <v>1</v>
      </c>
      <c r="I152" s="1">
        <v>3</v>
      </c>
      <c r="J152" s="1" t="s">
        <v>899</v>
      </c>
    </row>
    <row r="153" spans="2:10" x14ac:dyDescent="0.3">
      <c r="B153" s="1">
        <v>149</v>
      </c>
      <c r="C153" s="1" t="s">
        <v>840</v>
      </c>
      <c r="D153" s="1" t="s">
        <v>841</v>
      </c>
      <c r="F153" s="1" t="s">
        <v>24</v>
      </c>
      <c r="G153" s="1" t="s">
        <v>930</v>
      </c>
      <c r="H153" s="1" t="b">
        <v>0</v>
      </c>
      <c r="I153" s="1">
        <v>3</v>
      </c>
      <c r="J153" s="1" t="s">
        <v>900</v>
      </c>
    </row>
    <row r="154" spans="2:10" x14ac:dyDescent="0.3">
      <c r="B154" s="1">
        <v>150</v>
      </c>
      <c r="C154" s="1" t="s">
        <v>757</v>
      </c>
      <c r="D154" s="1" t="s">
        <v>758</v>
      </c>
      <c r="F154" s="1" t="s">
        <v>24</v>
      </c>
      <c r="G154" s="1" t="s">
        <v>913</v>
      </c>
      <c r="H154" s="1" t="b">
        <v>0</v>
      </c>
      <c r="I154" s="1">
        <v>4</v>
      </c>
      <c r="J154" s="1" t="s">
        <v>988</v>
      </c>
    </row>
    <row r="155" spans="2:10" x14ac:dyDescent="0.3">
      <c r="B155" s="1">
        <v>151</v>
      </c>
      <c r="C155" s="1" t="s">
        <v>788</v>
      </c>
      <c r="D155" s="1" t="s">
        <v>789</v>
      </c>
      <c r="F155" s="1" t="s">
        <v>24</v>
      </c>
      <c r="G155" s="1" t="s">
        <v>915</v>
      </c>
      <c r="H155" s="1" t="b">
        <v>0</v>
      </c>
      <c r="I155" s="1">
        <v>4</v>
      </c>
      <c r="J155" s="1" t="s">
        <v>989</v>
      </c>
    </row>
    <row r="156" spans="2:10" x14ac:dyDescent="0.3">
      <c r="B156" s="1">
        <v>152</v>
      </c>
      <c r="C156" s="1" t="s">
        <v>813</v>
      </c>
      <c r="D156" s="1" t="s">
        <v>814</v>
      </c>
      <c r="F156" s="1" t="s">
        <v>24</v>
      </c>
      <c r="G156" s="1" t="s">
        <v>815</v>
      </c>
      <c r="H156" s="1" t="b">
        <v>0</v>
      </c>
      <c r="I156" s="1">
        <v>3</v>
      </c>
    </row>
    <row r="157" spans="2:10" x14ac:dyDescent="0.3">
      <c r="B157" s="1">
        <v>153</v>
      </c>
      <c r="C157" s="1" t="s">
        <v>100</v>
      </c>
      <c r="D157" s="1" t="s">
        <v>101</v>
      </c>
      <c r="F157" s="1" t="s">
        <v>24</v>
      </c>
      <c r="G157" s="1" t="s">
        <v>102</v>
      </c>
      <c r="H157" s="1" t="b">
        <v>0</v>
      </c>
      <c r="I157" s="1">
        <v>3</v>
      </c>
    </row>
    <row r="158" spans="2:10" x14ac:dyDescent="0.3">
      <c r="B158" s="1">
        <v>154</v>
      </c>
      <c r="C158" s="1" t="s">
        <v>103</v>
      </c>
      <c r="D158" s="1" t="s">
        <v>104</v>
      </c>
      <c r="F158" s="1" t="s">
        <v>105</v>
      </c>
      <c r="G158" s="1" t="s">
        <v>106</v>
      </c>
      <c r="H158" s="1" t="b">
        <v>0</v>
      </c>
      <c r="I158" s="1">
        <v>3</v>
      </c>
    </row>
    <row r="159" spans="2:10" x14ac:dyDescent="0.3">
      <c r="B159" s="1">
        <v>155</v>
      </c>
      <c r="C159" s="1" t="s">
        <v>847</v>
      </c>
      <c r="D159" s="1" t="s">
        <v>848</v>
      </c>
      <c r="E159" s="1" t="s">
        <v>849</v>
      </c>
      <c r="F159" s="1" t="s">
        <v>24</v>
      </c>
      <c r="G159" s="1" t="s">
        <v>850</v>
      </c>
      <c r="H159" s="1" t="b">
        <v>0</v>
      </c>
      <c r="I159" s="1">
        <v>3</v>
      </c>
    </row>
    <row r="160" spans="2:10" x14ac:dyDescent="0.3">
      <c r="B160" s="1">
        <v>156</v>
      </c>
      <c r="C160" s="1" t="s">
        <v>842</v>
      </c>
      <c r="F160" s="1" t="s">
        <v>24</v>
      </c>
      <c r="G160" s="1" t="s">
        <v>931</v>
      </c>
      <c r="H160" s="1" t="b">
        <v>1</v>
      </c>
      <c r="I160" s="1">
        <v>3</v>
      </c>
      <c r="J160" s="1" t="s">
        <v>901</v>
      </c>
    </row>
    <row r="161" spans="2:10" x14ac:dyDescent="0.3">
      <c r="B161" s="1">
        <v>157</v>
      </c>
      <c r="C161" s="1" t="s">
        <v>856</v>
      </c>
      <c r="D161" s="1" t="s">
        <v>857</v>
      </c>
      <c r="F161" s="1" t="s">
        <v>24</v>
      </c>
      <c r="G161" s="1" t="s">
        <v>932</v>
      </c>
      <c r="H161" s="1" t="b">
        <v>0</v>
      </c>
      <c r="I161" s="1">
        <v>3</v>
      </c>
    </row>
    <row r="162" spans="2:10" x14ac:dyDescent="0.3">
      <c r="B162" s="1">
        <v>158</v>
      </c>
      <c r="C162" s="1" t="s">
        <v>851</v>
      </c>
      <c r="D162" s="1" t="s">
        <v>852</v>
      </c>
      <c r="E162" s="1" t="s">
        <v>853</v>
      </c>
      <c r="F162" s="1" t="s">
        <v>24</v>
      </c>
      <c r="G162" s="1" t="s">
        <v>854</v>
      </c>
      <c r="H162" s="1" t="b">
        <v>0</v>
      </c>
      <c r="I162" s="1">
        <v>3</v>
      </c>
    </row>
    <row r="163" spans="2:10" x14ac:dyDescent="0.3">
      <c r="B163" s="1">
        <v>159</v>
      </c>
      <c r="C163" s="1" t="s">
        <v>855</v>
      </c>
      <c r="F163" s="1" t="s">
        <v>24</v>
      </c>
      <c r="G163" s="1" t="s">
        <v>933</v>
      </c>
      <c r="H163" s="1" t="b">
        <v>1</v>
      </c>
      <c r="I163" s="1">
        <v>3</v>
      </c>
      <c r="J163" s="1" t="s">
        <v>902</v>
      </c>
    </row>
    <row r="164" spans="2:10" x14ac:dyDescent="0.3">
      <c r="B164" s="1">
        <v>160</v>
      </c>
      <c r="C164" s="1" t="s">
        <v>577</v>
      </c>
      <c r="F164" s="1" t="s">
        <v>726</v>
      </c>
      <c r="G164" s="1" t="s">
        <v>934</v>
      </c>
      <c r="H164" s="1" t="b">
        <v>0</v>
      </c>
      <c r="I164" s="1">
        <v>3</v>
      </c>
      <c r="J164" s="1" t="s">
        <v>903</v>
      </c>
    </row>
    <row r="165" spans="2:10" x14ac:dyDescent="0.3">
      <c r="B165" s="1">
        <v>161</v>
      </c>
      <c r="C165" s="1" t="s">
        <v>858</v>
      </c>
      <c r="D165" s="1" t="s">
        <v>859</v>
      </c>
      <c r="F165" s="1" t="s">
        <v>24</v>
      </c>
      <c r="G165" s="1" t="s">
        <v>860</v>
      </c>
      <c r="H165" s="1" t="b">
        <v>0</v>
      </c>
      <c r="I165" s="1">
        <v>3</v>
      </c>
    </row>
    <row r="166" spans="2:10" x14ac:dyDescent="0.3">
      <c r="B166" s="1">
        <v>162</v>
      </c>
      <c r="C166" s="1" t="s">
        <v>847</v>
      </c>
      <c r="D166" s="1" t="s">
        <v>848</v>
      </c>
      <c r="E166" s="1" t="s">
        <v>849</v>
      </c>
      <c r="F166" s="1" t="s">
        <v>24</v>
      </c>
      <c r="G166" s="1" t="s">
        <v>850</v>
      </c>
      <c r="H166" s="1" t="b">
        <v>0</v>
      </c>
      <c r="I166" s="1">
        <v>3</v>
      </c>
    </row>
    <row r="167" spans="2:10" x14ac:dyDescent="0.3">
      <c r="B167" s="1">
        <v>163</v>
      </c>
      <c r="C167" s="1" t="s">
        <v>842</v>
      </c>
      <c r="F167" s="1" t="s">
        <v>24</v>
      </c>
      <c r="G167" s="1" t="s">
        <v>931</v>
      </c>
      <c r="H167" s="1" t="b">
        <v>1</v>
      </c>
      <c r="I167" s="1">
        <v>3</v>
      </c>
      <c r="J167" s="1" t="s">
        <v>901</v>
      </c>
    </row>
    <row r="168" spans="2:10" x14ac:dyDescent="0.3">
      <c r="B168" s="1">
        <v>164</v>
      </c>
      <c r="C168" s="1" t="s">
        <v>856</v>
      </c>
      <c r="D168" s="1" t="s">
        <v>857</v>
      </c>
      <c r="F168" s="1" t="s">
        <v>24</v>
      </c>
      <c r="G168" s="1" t="s">
        <v>932</v>
      </c>
      <c r="H168" s="1" t="b">
        <v>0</v>
      </c>
      <c r="I168" s="1">
        <v>3</v>
      </c>
      <c r="J168" s="1" t="s">
        <v>904</v>
      </c>
    </row>
    <row r="169" spans="2:10" x14ac:dyDescent="0.3">
      <c r="B169" s="1">
        <v>165</v>
      </c>
      <c r="C169" s="1" t="s">
        <v>722</v>
      </c>
      <c r="D169" s="1" t="s">
        <v>723</v>
      </c>
      <c r="E169" s="1" t="s">
        <v>739</v>
      </c>
      <c r="F169" s="1" t="s">
        <v>24</v>
      </c>
      <c r="G169" s="1" t="s">
        <v>740</v>
      </c>
      <c r="H169" s="1" t="b">
        <v>0</v>
      </c>
      <c r="I169" s="1">
        <v>3</v>
      </c>
    </row>
    <row r="170" spans="2:10" x14ac:dyDescent="0.3">
      <c r="B170" s="1">
        <v>166</v>
      </c>
      <c r="C170" s="1" t="s">
        <v>741</v>
      </c>
      <c r="F170" s="1" t="s">
        <v>24</v>
      </c>
      <c r="G170" s="1" t="s">
        <v>742</v>
      </c>
      <c r="H170" s="1" t="b">
        <v>1</v>
      </c>
      <c r="I170" s="1">
        <v>3</v>
      </c>
      <c r="J170" s="1" t="s">
        <v>905</v>
      </c>
    </row>
    <row r="171" spans="2:10" x14ac:dyDescent="0.3">
      <c r="B171" s="1">
        <v>167</v>
      </c>
      <c r="C171" s="1" t="s">
        <v>577</v>
      </c>
      <c r="F171" s="1" t="s">
        <v>726</v>
      </c>
      <c r="G171" s="1" t="s">
        <v>934</v>
      </c>
      <c r="H171" s="1" t="b">
        <v>0</v>
      </c>
      <c r="I171" s="1">
        <v>3</v>
      </c>
      <c r="J171" s="1" t="s">
        <v>906</v>
      </c>
    </row>
    <row r="172" spans="2:10" x14ac:dyDescent="0.3">
      <c r="B172" s="1">
        <v>168</v>
      </c>
      <c r="C172" s="1" t="s">
        <v>861</v>
      </c>
      <c r="D172" s="1" t="s">
        <v>862</v>
      </c>
      <c r="F172" s="1" t="s">
        <v>24</v>
      </c>
      <c r="G172" s="1" t="s">
        <v>863</v>
      </c>
      <c r="H172" s="1" t="b">
        <v>0</v>
      </c>
      <c r="I172" s="1">
        <v>3</v>
      </c>
    </row>
    <row r="173" spans="2:10" x14ac:dyDescent="0.3">
      <c r="B173" s="1">
        <v>169</v>
      </c>
      <c r="C173" s="1" t="s">
        <v>535</v>
      </c>
      <c r="D173" s="1" t="s">
        <v>536</v>
      </c>
      <c r="F173" s="1" t="s">
        <v>24</v>
      </c>
      <c r="G173" s="1" t="s">
        <v>537</v>
      </c>
      <c r="H173" s="1" t="b">
        <v>0</v>
      </c>
      <c r="I173" s="1">
        <v>3</v>
      </c>
    </row>
    <row r="174" spans="2:10" x14ac:dyDescent="0.3">
      <c r="B174" s="1">
        <v>170</v>
      </c>
      <c r="C174" s="1" t="s">
        <v>816</v>
      </c>
      <c r="F174" s="1" t="s">
        <v>24</v>
      </c>
      <c r="G174" s="1" t="s">
        <v>864</v>
      </c>
      <c r="H174" s="1" t="b">
        <v>1</v>
      </c>
      <c r="I174" s="1">
        <v>3</v>
      </c>
    </row>
    <row r="175" spans="2:10" x14ac:dyDescent="0.3">
      <c r="B175" s="1">
        <v>171</v>
      </c>
      <c r="C175" s="1" t="s">
        <v>856</v>
      </c>
      <c r="D175" s="1" t="s">
        <v>857</v>
      </c>
      <c r="F175" s="1" t="s">
        <v>24</v>
      </c>
      <c r="G175" s="1" t="s">
        <v>932</v>
      </c>
      <c r="H175" s="1" t="b">
        <v>0</v>
      </c>
      <c r="I175" s="1">
        <v>3</v>
      </c>
      <c r="J175" s="1" t="s">
        <v>907</v>
      </c>
    </row>
    <row r="176" spans="2:10" x14ac:dyDescent="0.3">
      <c r="B176" s="1">
        <v>172</v>
      </c>
      <c r="C176" s="1" t="s">
        <v>722</v>
      </c>
      <c r="D176" s="1" t="s">
        <v>723</v>
      </c>
      <c r="E176" s="1" t="s">
        <v>739</v>
      </c>
      <c r="F176" s="1" t="s">
        <v>24</v>
      </c>
      <c r="G176" s="1" t="s">
        <v>740</v>
      </c>
      <c r="H176" s="1" t="b">
        <v>0</v>
      </c>
      <c r="I176" s="1">
        <v>3</v>
      </c>
    </row>
    <row r="177" spans="2:10" x14ac:dyDescent="0.3">
      <c r="B177" s="1">
        <v>173</v>
      </c>
      <c r="C177" s="1" t="s">
        <v>741</v>
      </c>
      <c r="F177" s="1" t="s">
        <v>24</v>
      </c>
      <c r="G177" s="1" t="s">
        <v>742</v>
      </c>
      <c r="H177" s="1" t="b">
        <v>1</v>
      </c>
      <c r="I177" s="1">
        <v>3</v>
      </c>
    </row>
    <row r="178" spans="2:10" x14ac:dyDescent="0.3">
      <c r="B178" s="1">
        <v>174</v>
      </c>
      <c r="C178" s="1" t="s">
        <v>803</v>
      </c>
      <c r="F178" s="1" t="s">
        <v>726</v>
      </c>
      <c r="G178" s="1" t="s">
        <v>922</v>
      </c>
      <c r="H178" s="1" t="b">
        <v>0</v>
      </c>
      <c r="I178" s="1">
        <v>3</v>
      </c>
      <c r="J178" s="1" t="s">
        <v>908</v>
      </c>
    </row>
    <row r="179" spans="2:10" x14ac:dyDescent="0.3">
      <c r="B179" s="1">
        <v>175</v>
      </c>
      <c r="C179" s="1" t="s">
        <v>749</v>
      </c>
      <c r="F179" s="1" t="s">
        <v>726</v>
      </c>
      <c r="G179" s="1" t="s">
        <v>750</v>
      </c>
      <c r="H179" s="1" t="b">
        <v>0</v>
      </c>
      <c r="I179" s="1">
        <v>3</v>
      </c>
      <c r="J179" s="1" t="s">
        <v>909</v>
      </c>
    </row>
    <row r="180" spans="2:10" x14ac:dyDescent="0.3">
      <c r="B180" s="1">
        <v>176</v>
      </c>
      <c r="C180" s="1" t="s">
        <v>778</v>
      </c>
      <c r="D180" s="1" t="s">
        <v>779</v>
      </c>
      <c r="E180" s="1">
        <v>40</v>
      </c>
      <c r="F180" s="1" t="s">
        <v>24</v>
      </c>
      <c r="G180" s="1" t="s">
        <v>865</v>
      </c>
      <c r="H180" s="1" t="b">
        <v>0</v>
      </c>
      <c r="I180" s="1">
        <v>3</v>
      </c>
    </row>
    <row r="181" spans="2:10" x14ac:dyDescent="0.3">
      <c r="B181" s="1">
        <v>177</v>
      </c>
      <c r="C181" s="1" t="s">
        <v>761</v>
      </c>
      <c r="F181" s="1" t="s">
        <v>24</v>
      </c>
      <c r="G181" s="1" t="s">
        <v>732</v>
      </c>
      <c r="H181" s="1" t="b">
        <v>1</v>
      </c>
      <c r="I181" s="1">
        <v>3</v>
      </c>
      <c r="J181" s="1" t="s">
        <v>910</v>
      </c>
    </row>
    <row r="182" spans="2:10" x14ac:dyDescent="0.3">
      <c r="B182" s="1">
        <v>178</v>
      </c>
      <c r="C182" s="1" t="s">
        <v>866</v>
      </c>
      <c r="F182" s="1" t="s">
        <v>726</v>
      </c>
      <c r="G182" s="1" t="s">
        <v>935</v>
      </c>
      <c r="H182" s="1" t="b">
        <v>0</v>
      </c>
      <c r="I182" s="1">
        <v>3</v>
      </c>
      <c r="J182" s="1" t="s">
        <v>911</v>
      </c>
    </row>
    <row r="183" spans="2:10" x14ac:dyDescent="0.3">
      <c r="B183" s="1">
        <v>179</v>
      </c>
      <c r="C183" s="1" t="s">
        <v>867</v>
      </c>
      <c r="D183" s="1" t="s">
        <v>868</v>
      </c>
      <c r="F183" s="1" t="s">
        <v>24</v>
      </c>
      <c r="G183" s="1" t="s">
        <v>869</v>
      </c>
      <c r="H183" s="1" t="b">
        <v>0</v>
      </c>
      <c r="I183" s="1">
        <v>3</v>
      </c>
    </row>
  </sheetData>
  <conditionalFormatting sqref="B5:H242">
    <cfRule type="expression" dxfId="1" priority="1">
      <formula>$E5&lt;&gt;""</formula>
    </cfRule>
  </conditionalFormatting>
  <conditionalFormatting sqref="I5:I242">
    <cfRule type="colorScale" priority="2">
      <colorScale>
        <cfvo type="min"/>
        <cfvo type="percentile" val="50"/>
        <cfvo type="max"/>
        <color rgb="FFF2F2F2"/>
        <color rgb="FF83CCEB"/>
        <color rgb="FF47D359"/>
      </colorScale>
    </cfRule>
  </conditionalFormatting>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FB49E-8465-4DB4-BD62-50B3B5687C34}">
  <sheetPr codeName="Sheet5"/>
  <dimension ref="B1:L48"/>
  <sheetViews>
    <sheetView showGridLines="0" zoomScale="55" zoomScaleNormal="55" workbookViewId="0">
      <pane ySplit="2" topLeftCell="A3" activePane="bottomLeft" state="frozenSplit"/>
      <selection activeCell="I13" sqref="I13"/>
      <selection pane="bottomLeft" activeCell="I2" sqref="I2"/>
    </sheetView>
  </sheetViews>
  <sheetFormatPr defaultColWidth="9.23046875" defaultRowHeight="18.75" x14ac:dyDescent="0.3"/>
  <cols>
    <col min="1" max="1" width="1.3046875" style="1" customWidth="1"/>
    <col min="2" max="2" width="4.15234375" style="1" customWidth="1"/>
    <col min="3" max="3" width="27.3828125" style="1" customWidth="1"/>
    <col min="4" max="4" width="10.15234375" style="1" customWidth="1"/>
    <col min="5" max="5" width="9.15234375" style="1" customWidth="1"/>
    <col min="6" max="6" width="21.69140625" style="1" customWidth="1"/>
    <col min="7" max="7" width="49.07421875" style="1" customWidth="1"/>
    <col min="8" max="8" width="8.921875" style="1" customWidth="1"/>
    <col min="9" max="9" width="9.69140625" style="1" customWidth="1"/>
    <col min="10" max="10" width="8.53515625" style="1" customWidth="1"/>
    <col min="11" max="11" width="9.23046875" style="1"/>
    <col min="12" max="12" width="2.4609375" style="1" customWidth="1"/>
    <col min="13" max="13" width="2.3046875" style="1" customWidth="1"/>
    <col min="14" max="14" width="3.3828125" style="1" customWidth="1"/>
    <col min="15" max="16" width="1.4609375" style="1" customWidth="1"/>
    <col min="17" max="17" width="2.23046875" style="1" customWidth="1"/>
    <col min="18" max="18" width="4.3046875" style="1" customWidth="1"/>
    <col min="19" max="19" width="3.765625" style="1" customWidth="1"/>
    <col min="20" max="16384" width="9.23046875" style="1"/>
  </cols>
  <sheetData>
    <row r="1" spans="2:12" ht="67.5" customHeight="1" x14ac:dyDescent="0.3"/>
    <row r="2" spans="2:12" ht="20.25" thickBot="1" x14ac:dyDescent="0.35">
      <c r="B2" s="11" t="s">
        <v>134</v>
      </c>
      <c r="C2" s="11"/>
      <c r="D2" s="11"/>
      <c r="E2" s="11"/>
      <c r="F2" s="11"/>
      <c r="G2" s="11"/>
      <c r="H2" s="11"/>
      <c r="I2" s="23" t="str">
        <f>IFERROR("/solve-case-robot " &amp; LEFT(B2) &amp; " " &amp; MAX(_xlfn._TRO_TRAILING(I5:I10000)) + 1, "")</f>
        <v/>
      </c>
      <c r="J2" s="22"/>
    </row>
    <row r="3" spans="2:12" ht="19.5" thickTop="1" x14ac:dyDescent="0.3"/>
    <row r="4" spans="2:12" x14ac:dyDescent="0.3">
      <c r="B4" s="5" t="s">
        <v>19</v>
      </c>
      <c r="C4" s="5" t="s">
        <v>20</v>
      </c>
      <c r="D4" s="5" t="s">
        <v>14</v>
      </c>
      <c r="E4" s="5" t="s">
        <v>21</v>
      </c>
      <c r="F4" s="5" t="s">
        <v>15</v>
      </c>
      <c r="G4" s="5" t="s">
        <v>16</v>
      </c>
      <c r="H4" s="5" t="s">
        <v>17</v>
      </c>
      <c r="I4" s="5" t="s">
        <v>84</v>
      </c>
      <c r="J4" s="5" t="s">
        <v>870</v>
      </c>
    </row>
    <row r="5" spans="2:12" x14ac:dyDescent="0.3">
      <c r="B5" s="1" t="str" cm="1">
        <f t="array" ref="B5">IFERROR(_xlfn.SEQUENCE(COUNTA(_xlfn._TRO_ALL(C:C))-1),"")</f>
        <v/>
      </c>
      <c r="H5" s="12" t="b">
        <v>0</v>
      </c>
      <c r="L5" s="1" t="str" cm="1">
        <f t="array" ref="L5">IFERROR(_xlfn._xlws.SORT(_xlfn.LET(_xlpm.cnt,CountEachUniqueValue(_xlfn._TRO_TRAILING(I5:I4902)),_xlfn._xlws.FILTER(_xlpm.cnt,_xlfn.TAKE(_xlpm.cnt,,1)&lt;&gt;""))),"")</f>
        <v/>
      </c>
    </row>
    <row r="6" spans="2:12" x14ac:dyDescent="0.3">
      <c r="H6" s="12" t="b">
        <v>0</v>
      </c>
    </row>
    <row r="7" spans="2:12" x14ac:dyDescent="0.3">
      <c r="H7" s="12" t="b">
        <v>0</v>
      </c>
    </row>
    <row r="8" spans="2:12" x14ac:dyDescent="0.3">
      <c r="H8" s="12" t="b">
        <v>0</v>
      </c>
    </row>
    <row r="9" spans="2:12" x14ac:dyDescent="0.3">
      <c r="H9" s="12" t="b">
        <v>0</v>
      </c>
    </row>
    <row r="10" spans="2:12" x14ac:dyDescent="0.3">
      <c r="H10" s="12" t="b">
        <v>0</v>
      </c>
    </row>
    <row r="11" spans="2:12" x14ac:dyDescent="0.3">
      <c r="H11" s="12" t="b">
        <v>0</v>
      </c>
    </row>
    <row r="12" spans="2:12" x14ac:dyDescent="0.3">
      <c r="H12" s="12" t="b">
        <v>0</v>
      </c>
    </row>
    <row r="13" spans="2:12" x14ac:dyDescent="0.3">
      <c r="H13" s="12" t="b">
        <v>0</v>
      </c>
    </row>
    <row r="14" spans="2:12" x14ac:dyDescent="0.3">
      <c r="H14" s="12" t="b">
        <v>0</v>
      </c>
    </row>
    <row r="15" spans="2:12" x14ac:dyDescent="0.3">
      <c r="H15" s="12" t="b">
        <v>0</v>
      </c>
    </row>
    <row r="16" spans="2:12" x14ac:dyDescent="0.3">
      <c r="H16" s="12" t="b">
        <v>0</v>
      </c>
    </row>
    <row r="17" spans="8:8" x14ac:dyDescent="0.3">
      <c r="H17" s="12" t="b">
        <v>0</v>
      </c>
    </row>
    <row r="18" spans="8:8" x14ac:dyDescent="0.3">
      <c r="H18" s="12" t="b">
        <v>0</v>
      </c>
    </row>
    <row r="19" spans="8:8" x14ac:dyDescent="0.3">
      <c r="H19" s="12" t="b">
        <v>0</v>
      </c>
    </row>
    <row r="20" spans="8:8" x14ac:dyDescent="0.3">
      <c r="H20" s="12" t="b">
        <v>0</v>
      </c>
    </row>
    <row r="21" spans="8:8" x14ac:dyDescent="0.3">
      <c r="H21" s="12" t="b">
        <v>0</v>
      </c>
    </row>
    <row r="22" spans="8:8" x14ac:dyDescent="0.3">
      <c r="H22" s="12" t="b">
        <v>0</v>
      </c>
    </row>
    <row r="23" spans="8:8" x14ac:dyDescent="0.3">
      <c r="H23" s="12" t="b">
        <v>0</v>
      </c>
    </row>
    <row r="24" spans="8:8" x14ac:dyDescent="0.3">
      <c r="H24" s="12" t="b">
        <v>0</v>
      </c>
    </row>
    <row r="25" spans="8:8" x14ac:dyDescent="0.3">
      <c r="H25" s="12" t="b">
        <v>0</v>
      </c>
    </row>
    <row r="26" spans="8:8" x14ac:dyDescent="0.3">
      <c r="H26" s="12" t="b">
        <v>0</v>
      </c>
    </row>
    <row r="27" spans="8:8" x14ac:dyDescent="0.3">
      <c r="H27" s="12" t="b">
        <v>0</v>
      </c>
    </row>
    <row r="28" spans="8:8" x14ac:dyDescent="0.3">
      <c r="H28" s="12" t="b">
        <v>0</v>
      </c>
    </row>
    <row r="29" spans="8:8" x14ac:dyDescent="0.3">
      <c r="H29" s="12" t="b">
        <v>0</v>
      </c>
    </row>
    <row r="30" spans="8:8" x14ac:dyDescent="0.3">
      <c r="H30" s="12" t="b">
        <v>0</v>
      </c>
    </row>
    <row r="31" spans="8:8" x14ac:dyDescent="0.3">
      <c r="H31" s="12" t="b">
        <v>0</v>
      </c>
    </row>
    <row r="32" spans="8:8" x14ac:dyDescent="0.3">
      <c r="H32" s="12" t="b">
        <v>0</v>
      </c>
    </row>
    <row r="33" spans="8:8" x14ac:dyDescent="0.3">
      <c r="H33" s="12" t="b">
        <v>0</v>
      </c>
    </row>
    <row r="34" spans="8:8" x14ac:dyDescent="0.3">
      <c r="H34" s="12" t="b">
        <v>0</v>
      </c>
    </row>
    <row r="35" spans="8:8" x14ac:dyDescent="0.3">
      <c r="H35" s="12" t="b">
        <v>0</v>
      </c>
    </row>
    <row r="36" spans="8:8" x14ac:dyDescent="0.3">
      <c r="H36" s="12" t="b">
        <v>0</v>
      </c>
    </row>
    <row r="37" spans="8:8" x14ac:dyDescent="0.3">
      <c r="H37" s="12" t="b">
        <v>0</v>
      </c>
    </row>
    <row r="38" spans="8:8" x14ac:dyDescent="0.3">
      <c r="H38" s="12" t="b">
        <v>0</v>
      </c>
    </row>
    <row r="39" spans="8:8" x14ac:dyDescent="0.3">
      <c r="H39" s="12" t="b">
        <v>0</v>
      </c>
    </row>
    <row r="40" spans="8:8" x14ac:dyDescent="0.3">
      <c r="H40" s="12" t="b">
        <v>0</v>
      </c>
    </row>
    <row r="41" spans="8:8" x14ac:dyDescent="0.3">
      <c r="H41" s="12" t="b">
        <v>0</v>
      </c>
    </row>
    <row r="42" spans="8:8" x14ac:dyDescent="0.3">
      <c r="H42" s="12" t="b">
        <v>0</v>
      </c>
    </row>
    <row r="43" spans="8:8" x14ac:dyDescent="0.3">
      <c r="H43" s="12" t="b">
        <v>0</v>
      </c>
    </row>
    <row r="44" spans="8:8" x14ac:dyDescent="0.3">
      <c r="H44" s="12" t="b">
        <v>0</v>
      </c>
    </row>
    <row r="45" spans="8:8" x14ac:dyDescent="0.3">
      <c r="H45" s="12" t="b">
        <v>0</v>
      </c>
    </row>
    <row r="46" spans="8:8" x14ac:dyDescent="0.3">
      <c r="H46" s="12" t="b">
        <v>0</v>
      </c>
    </row>
    <row r="47" spans="8:8" x14ac:dyDescent="0.3">
      <c r="H47" s="12" t="b">
        <v>0</v>
      </c>
    </row>
    <row r="48" spans="8:8" x14ac:dyDescent="0.3">
      <c r="H48" s="12" t="b">
        <v>0</v>
      </c>
    </row>
  </sheetData>
  <conditionalFormatting sqref="B5:H242">
    <cfRule type="expression" dxfId="0" priority="1">
      <formula>$E5&lt;&gt;""</formula>
    </cfRule>
  </conditionalFormatting>
  <conditionalFormatting sqref="I5:I242">
    <cfRule type="colorScale" priority="2">
      <colorScale>
        <cfvo type="min"/>
        <cfvo type="percentile" val="50"/>
        <cfvo type="max"/>
        <color rgb="FFF2F2F2"/>
        <color rgb="FF83CCEB"/>
        <color rgb="FF47D359"/>
      </colorScale>
    </cfRule>
  </conditionalFormatting>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1D282-D079-4AF2-9F07-6ECADD56F58F}">
  <sheetPr codeName="Sheet10"/>
  <dimension ref="B2:G92"/>
  <sheetViews>
    <sheetView workbookViewId="0"/>
  </sheetViews>
  <sheetFormatPr defaultRowHeight="19.5" x14ac:dyDescent="0.25"/>
  <cols>
    <col min="2" max="2" width="10.69140625" customWidth="1"/>
    <col min="4" max="4" width="13.07421875" customWidth="1"/>
    <col min="7" max="7" width="11.921875" customWidth="1"/>
  </cols>
  <sheetData>
    <row r="2" spans="2:7" x14ac:dyDescent="0.25">
      <c r="B2" t="s">
        <v>936</v>
      </c>
    </row>
    <row r="4" spans="2:7" x14ac:dyDescent="0.25">
      <c r="B4" t="s">
        <v>20</v>
      </c>
      <c r="C4" t="s">
        <v>937</v>
      </c>
      <c r="D4" t="s">
        <v>938</v>
      </c>
      <c r="F4" t="s">
        <v>937</v>
      </c>
      <c r="G4" t="s">
        <v>16</v>
      </c>
    </row>
    <row r="5" spans="2:7" x14ac:dyDescent="0.25">
      <c r="B5" t="s">
        <v>38</v>
      </c>
      <c r="C5" t="s">
        <v>939</v>
      </c>
      <c r="D5" t="s">
        <v>13</v>
      </c>
      <c r="F5" t="s">
        <v>939</v>
      </c>
      <c r="G5" t="s">
        <v>964</v>
      </c>
    </row>
    <row r="6" spans="2:7" x14ac:dyDescent="0.25">
      <c r="B6" t="s">
        <v>627</v>
      </c>
      <c r="C6" t="s">
        <v>939</v>
      </c>
      <c r="D6" t="s">
        <v>13</v>
      </c>
      <c r="F6" t="s">
        <v>940</v>
      </c>
      <c r="G6" t="s">
        <v>965</v>
      </c>
    </row>
    <row r="7" spans="2:7" x14ac:dyDescent="0.25">
      <c r="B7" t="s">
        <v>716</v>
      </c>
      <c r="C7" t="s">
        <v>939</v>
      </c>
      <c r="D7" t="s">
        <v>13</v>
      </c>
      <c r="F7" t="s">
        <v>941</v>
      </c>
      <c r="G7" t="s">
        <v>966</v>
      </c>
    </row>
    <row r="8" spans="2:7" x14ac:dyDescent="0.25">
      <c r="B8" t="s">
        <v>693</v>
      </c>
      <c r="C8" t="s">
        <v>939</v>
      </c>
      <c r="D8" t="s">
        <v>13</v>
      </c>
      <c r="F8" t="s">
        <v>943</v>
      </c>
      <c r="G8" t="s">
        <v>967</v>
      </c>
    </row>
    <row r="9" spans="2:7" x14ac:dyDescent="0.25">
      <c r="B9" t="s">
        <v>71</v>
      </c>
      <c r="C9" t="s">
        <v>939</v>
      </c>
      <c r="D9" t="s">
        <v>13</v>
      </c>
      <c r="F9" t="s">
        <v>944</v>
      </c>
      <c r="G9" t="s">
        <v>968</v>
      </c>
    </row>
    <row r="10" spans="2:7" x14ac:dyDescent="0.25">
      <c r="B10" t="s">
        <v>625</v>
      </c>
      <c r="C10" t="s">
        <v>939</v>
      </c>
      <c r="D10" t="s">
        <v>13</v>
      </c>
      <c r="F10" t="s">
        <v>947</v>
      </c>
      <c r="G10" t="s">
        <v>969</v>
      </c>
    </row>
    <row r="11" spans="2:7" x14ac:dyDescent="0.25">
      <c r="B11" t="s">
        <v>623</v>
      </c>
      <c r="C11" t="s">
        <v>939</v>
      </c>
      <c r="D11" t="s">
        <v>13</v>
      </c>
      <c r="F11" t="s">
        <v>948</v>
      </c>
      <c r="G11" t="s">
        <v>970</v>
      </c>
    </row>
    <row r="12" spans="2:7" x14ac:dyDescent="0.25">
      <c r="B12" t="s">
        <v>562</v>
      </c>
      <c r="C12" t="s">
        <v>939</v>
      </c>
      <c r="D12" t="s">
        <v>13</v>
      </c>
      <c r="F12" t="s">
        <v>949</v>
      </c>
      <c r="G12" t="s">
        <v>971</v>
      </c>
    </row>
    <row r="13" spans="2:7" x14ac:dyDescent="0.25">
      <c r="B13" t="s">
        <v>698</v>
      </c>
      <c r="C13" t="s">
        <v>939</v>
      </c>
      <c r="D13" t="s">
        <v>13</v>
      </c>
      <c r="F13" t="s">
        <v>950</v>
      </c>
      <c r="G13" t="s">
        <v>972</v>
      </c>
    </row>
    <row r="14" spans="2:7" x14ac:dyDescent="0.25">
      <c r="B14" t="s">
        <v>714</v>
      </c>
      <c r="C14" t="s">
        <v>939</v>
      </c>
      <c r="D14" t="s">
        <v>13</v>
      </c>
      <c r="F14" t="s">
        <v>951</v>
      </c>
      <c r="G14" t="s">
        <v>973</v>
      </c>
    </row>
    <row r="15" spans="2:7" x14ac:dyDescent="0.25">
      <c r="B15" t="s">
        <v>713</v>
      </c>
      <c r="C15" t="s">
        <v>939</v>
      </c>
      <c r="D15" t="s">
        <v>13</v>
      </c>
      <c r="F15" t="s">
        <v>952</v>
      </c>
      <c r="G15" t="s">
        <v>974</v>
      </c>
    </row>
    <row r="16" spans="2:7" x14ac:dyDescent="0.25">
      <c r="B16" t="s">
        <v>551</v>
      </c>
      <c r="C16" t="s">
        <v>939</v>
      </c>
      <c r="D16" t="s">
        <v>13</v>
      </c>
      <c r="F16" t="s">
        <v>117</v>
      </c>
      <c r="G16" t="s">
        <v>975</v>
      </c>
    </row>
    <row r="17" spans="2:7" x14ac:dyDescent="0.25">
      <c r="B17" t="s">
        <v>540</v>
      </c>
      <c r="C17" t="s">
        <v>939</v>
      </c>
      <c r="D17" t="s">
        <v>13</v>
      </c>
      <c r="F17" t="s">
        <v>953</v>
      </c>
      <c r="G17" t="s">
        <v>976</v>
      </c>
    </row>
    <row r="18" spans="2:7" x14ac:dyDescent="0.25">
      <c r="B18" t="s">
        <v>114</v>
      </c>
      <c r="C18" t="s">
        <v>939</v>
      </c>
      <c r="D18" t="s">
        <v>13</v>
      </c>
      <c r="F18" t="s">
        <v>955</v>
      </c>
      <c r="G18" t="s">
        <v>736</v>
      </c>
    </row>
    <row r="19" spans="2:7" x14ac:dyDescent="0.25">
      <c r="B19" t="s">
        <v>119</v>
      </c>
      <c r="C19" t="s">
        <v>939</v>
      </c>
      <c r="D19" t="s">
        <v>13</v>
      </c>
      <c r="F19" t="s">
        <v>956</v>
      </c>
      <c r="G19" t="s">
        <v>977</v>
      </c>
    </row>
    <row r="20" spans="2:7" x14ac:dyDescent="0.25">
      <c r="B20" t="s">
        <v>788</v>
      </c>
      <c r="C20" t="s">
        <v>939</v>
      </c>
      <c r="D20" t="s">
        <v>13</v>
      </c>
      <c r="F20" t="s">
        <v>957</v>
      </c>
      <c r="G20" t="s">
        <v>978</v>
      </c>
    </row>
    <row r="21" spans="2:7" x14ac:dyDescent="0.25">
      <c r="B21" t="s">
        <v>792</v>
      </c>
      <c r="C21" t="s">
        <v>939</v>
      </c>
      <c r="D21" t="s">
        <v>13</v>
      </c>
      <c r="F21" t="s">
        <v>958</v>
      </c>
      <c r="G21" t="s">
        <v>979</v>
      </c>
    </row>
    <row r="22" spans="2:7" x14ac:dyDescent="0.25">
      <c r="B22" t="s">
        <v>572</v>
      </c>
      <c r="C22" t="s">
        <v>939</v>
      </c>
      <c r="D22" t="s">
        <v>13</v>
      </c>
      <c r="F22" t="s">
        <v>959</v>
      </c>
      <c r="G22" t="s">
        <v>980</v>
      </c>
    </row>
    <row r="23" spans="2:7" x14ac:dyDescent="0.25">
      <c r="B23" t="s">
        <v>600</v>
      </c>
      <c r="C23" t="s">
        <v>939</v>
      </c>
      <c r="D23" t="s">
        <v>13</v>
      </c>
      <c r="F23" t="s">
        <v>960</v>
      </c>
      <c r="G23" t="s">
        <v>981</v>
      </c>
    </row>
    <row r="24" spans="2:7" x14ac:dyDescent="0.25">
      <c r="B24" t="s">
        <v>565</v>
      </c>
      <c r="C24" t="s">
        <v>940</v>
      </c>
      <c r="D24" t="s">
        <v>13</v>
      </c>
      <c r="F24" t="s">
        <v>961</v>
      </c>
      <c r="G24" t="s">
        <v>982</v>
      </c>
    </row>
    <row r="25" spans="2:7" x14ac:dyDescent="0.25">
      <c r="B25" t="s">
        <v>89</v>
      </c>
      <c r="C25" t="s">
        <v>941</v>
      </c>
      <c r="D25" t="s">
        <v>942</v>
      </c>
      <c r="F25" t="s">
        <v>963</v>
      </c>
      <c r="G25" t="s">
        <v>983</v>
      </c>
    </row>
    <row r="26" spans="2:7" x14ac:dyDescent="0.25">
      <c r="B26" t="s">
        <v>107</v>
      </c>
      <c r="C26" t="s">
        <v>941</v>
      </c>
      <c r="D26" t="s">
        <v>942</v>
      </c>
      <c r="F26" t="s">
        <v>550</v>
      </c>
      <c r="G26" t="s">
        <v>984</v>
      </c>
    </row>
    <row r="27" spans="2:7" x14ac:dyDescent="0.25">
      <c r="B27" t="s">
        <v>131</v>
      </c>
      <c r="C27" t="s">
        <v>941</v>
      </c>
      <c r="D27" t="s">
        <v>942</v>
      </c>
    </row>
    <row r="28" spans="2:7" x14ac:dyDescent="0.25">
      <c r="B28" t="s">
        <v>517</v>
      </c>
      <c r="C28" t="s">
        <v>941</v>
      </c>
      <c r="D28" t="s">
        <v>942</v>
      </c>
    </row>
    <row r="29" spans="2:7" x14ac:dyDescent="0.25">
      <c r="B29" t="s">
        <v>535</v>
      </c>
      <c r="C29" t="s">
        <v>941</v>
      </c>
      <c r="D29" t="s">
        <v>942</v>
      </c>
    </row>
    <row r="30" spans="2:7" x14ac:dyDescent="0.25">
      <c r="B30" t="s">
        <v>545</v>
      </c>
      <c r="C30" t="s">
        <v>941</v>
      </c>
      <c r="D30" t="s">
        <v>942</v>
      </c>
    </row>
    <row r="31" spans="2:7" x14ac:dyDescent="0.25">
      <c r="B31" t="s">
        <v>602</v>
      </c>
      <c r="C31" t="s">
        <v>941</v>
      </c>
      <c r="D31" t="s">
        <v>942</v>
      </c>
    </row>
    <row r="32" spans="2:7" x14ac:dyDescent="0.25">
      <c r="B32" t="s">
        <v>658</v>
      </c>
      <c r="C32" t="s">
        <v>943</v>
      </c>
      <c r="D32" t="s">
        <v>942</v>
      </c>
    </row>
    <row r="33" spans="2:4" x14ac:dyDescent="0.25">
      <c r="B33" t="s">
        <v>661</v>
      </c>
      <c r="C33" t="s">
        <v>943</v>
      </c>
      <c r="D33" t="s">
        <v>942</v>
      </c>
    </row>
    <row r="34" spans="2:4" x14ac:dyDescent="0.25">
      <c r="B34" t="s">
        <v>664</v>
      </c>
      <c r="C34" t="s">
        <v>943</v>
      </c>
      <c r="D34" t="s">
        <v>942</v>
      </c>
    </row>
    <row r="35" spans="2:4" x14ac:dyDescent="0.25">
      <c r="B35" t="s">
        <v>667</v>
      </c>
      <c r="C35" t="s">
        <v>943</v>
      </c>
      <c r="D35" t="s">
        <v>942</v>
      </c>
    </row>
    <row r="36" spans="2:4" x14ac:dyDescent="0.25">
      <c r="B36" t="s">
        <v>695</v>
      </c>
      <c r="C36" t="s">
        <v>943</v>
      </c>
      <c r="D36" t="s">
        <v>942</v>
      </c>
    </row>
    <row r="37" spans="2:4" x14ac:dyDescent="0.25">
      <c r="B37" t="s">
        <v>858</v>
      </c>
      <c r="C37" t="s">
        <v>944</v>
      </c>
      <c r="D37" t="s">
        <v>942</v>
      </c>
    </row>
    <row r="38" spans="2:4" x14ac:dyDescent="0.25">
      <c r="B38" t="s">
        <v>861</v>
      </c>
      <c r="C38" t="s">
        <v>944</v>
      </c>
      <c r="D38" t="s">
        <v>942</v>
      </c>
    </row>
    <row r="39" spans="2:4" x14ac:dyDescent="0.25">
      <c r="B39" t="s">
        <v>867</v>
      </c>
      <c r="C39" t="s">
        <v>944</v>
      </c>
      <c r="D39" t="s">
        <v>942</v>
      </c>
    </row>
    <row r="40" spans="2:4" x14ac:dyDescent="0.25">
      <c r="B40" t="s">
        <v>945</v>
      </c>
      <c r="C40" t="s">
        <v>944</v>
      </c>
      <c r="D40" t="s">
        <v>942</v>
      </c>
    </row>
    <row r="41" spans="2:4" x14ac:dyDescent="0.25">
      <c r="B41" t="s">
        <v>946</v>
      </c>
      <c r="C41" t="s">
        <v>944</v>
      </c>
      <c r="D41" t="s">
        <v>942</v>
      </c>
    </row>
    <row r="42" spans="2:4" x14ac:dyDescent="0.25">
      <c r="B42" t="s">
        <v>762</v>
      </c>
      <c r="C42" t="s">
        <v>947</v>
      </c>
      <c r="D42" t="s">
        <v>942</v>
      </c>
    </row>
    <row r="43" spans="2:4" x14ac:dyDescent="0.25">
      <c r="B43" t="s">
        <v>612</v>
      </c>
      <c r="C43" t="s">
        <v>947</v>
      </c>
      <c r="D43" t="s">
        <v>942</v>
      </c>
    </row>
    <row r="44" spans="2:4" x14ac:dyDescent="0.25">
      <c r="B44" t="s">
        <v>590</v>
      </c>
      <c r="C44" t="s">
        <v>947</v>
      </c>
      <c r="D44" t="s">
        <v>942</v>
      </c>
    </row>
    <row r="45" spans="2:4" x14ac:dyDescent="0.25">
      <c r="B45" t="s">
        <v>591</v>
      </c>
      <c r="C45" t="s">
        <v>947</v>
      </c>
      <c r="D45" t="s">
        <v>942</v>
      </c>
    </row>
    <row r="46" spans="2:4" x14ac:dyDescent="0.25">
      <c r="B46" t="s">
        <v>778</v>
      </c>
      <c r="C46" t="s">
        <v>948</v>
      </c>
      <c r="D46" t="s">
        <v>942</v>
      </c>
    </row>
    <row r="47" spans="2:4" x14ac:dyDescent="0.25">
      <c r="B47" t="s">
        <v>592</v>
      </c>
      <c r="C47" t="s">
        <v>948</v>
      </c>
      <c r="D47" t="s">
        <v>942</v>
      </c>
    </row>
    <row r="48" spans="2:4" x14ac:dyDescent="0.25">
      <c r="B48" t="s">
        <v>781</v>
      </c>
      <c r="C48" t="s">
        <v>949</v>
      </c>
      <c r="D48" t="s">
        <v>942</v>
      </c>
    </row>
    <row r="49" spans="2:4" x14ac:dyDescent="0.25">
      <c r="B49" t="s">
        <v>618</v>
      </c>
      <c r="C49" t="s">
        <v>949</v>
      </c>
      <c r="D49" t="s">
        <v>942</v>
      </c>
    </row>
    <row r="50" spans="2:4" x14ac:dyDescent="0.25">
      <c r="B50" t="s">
        <v>768</v>
      </c>
      <c r="C50" t="s">
        <v>950</v>
      </c>
      <c r="D50" t="s">
        <v>942</v>
      </c>
    </row>
    <row r="51" spans="2:4" x14ac:dyDescent="0.25">
      <c r="B51" t="s">
        <v>770</v>
      </c>
      <c r="C51" t="s">
        <v>950</v>
      </c>
      <c r="D51" t="s">
        <v>942</v>
      </c>
    </row>
    <row r="52" spans="2:4" x14ac:dyDescent="0.25">
      <c r="B52" t="s">
        <v>772</v>
      </c>
      <c r="C52" t="s">
        <v>950</v>
      </c>
      <c r="D52" t="s">
        <v>942</v>
      </c>
    </row>
    <row r="53" spans="2:4" x14ac:dyDescent="0.25">
      <c r="B53" t="s">
        <v>122</v>
      </c>
      <c r="C53" t="s">
        <v>950</v>
      </c>
      <c r="D53" t="s">
        <v>942</v>
      </c>
    </row>
    <row r="54" spans="2:4" x14ac:dyDescent="0.25">
      <c r="B54" t="s">
        <v>53</v>
      </c>
      <c r="C54" t="s">
        <v>950</v>
      </c>
      <c r="D54" t="s">
        <v>942</v>
      </c>
    </row>
    <row r="55" spans="2:4" x14ac:dyDescent="0.25">
      <c r="B55" t="s">
        <v>581</v>
      </c>
      <c r="C55" t="s">
        <v>951</v>
      </c>
      <c r="D55" t="s">
        <v>942</v>
      </c>
    </row>
    <row r="56" spans="2:4" x14ac:dyDescent="0.25">
      <c r="B56" t="s">
        <v>605</v>
      </c>
      <c r="C56" t="s">
        <v>951</v>
      </c>
      <c r="D56" t="s">
        <v>942</v>
      </c>
    </row>
    <row r="57" spans="2:4" x14ac:dyDescent="0.25">
      <c r="B57" t="s">
        <v>584</v>
      </c>
      <c r="C57" t="s">
        <v>951</v>
      </c>
      <c r="D57" t="s">
        <v>942</v>
      </c>
    </row>
    <row r="58" spans="2:4" x14ac:dyDescent="0.25">
      <c r="B58" t="s">
        <v>40</v>
      </c>
      <c r="C58" t="s">
        <v>952</v>
      </c>
      <c r="D58" t="s">
        <v>942</v>
      </c>
    </row>
    <row r="59" spans="2:4" x14ac:dyDescent="0.25">
      <c r="B59" t="s">
        <v>651</v>
      </c>
      <c r="C59" t="s">
        <v>952</v>
      </c>
      <c r="D59" t="s">
        <v>942</v>
      </c>
    </row>
    <row r="60" spans="2:4" x14ac:dyDescent="0.25">
      <c r="B60" t="s">
        <v>564</v>
      </c>
      <c r="C60" t="s">
        <v>952</v>
      </c>
      <c r="D60" t="s">
        <v>942</v>
      </c>
    </row>
    <row r="61" spans="2:4" x14ac:dyDescent="0.25">
      <c r="B61" t="s">
        <v>117</v>
      </c>
      <c r="C61" t="s">
        <v>117</v>
      </c>
      <c r="D61" t="s">
        <v>942</v>
      </c>
    </row>
    <row r="62" spans="2:4" x14ac:dyDescent="0.25">
      <c r="B62" t="s">
        <v>511</v>
      </c>
      <c r="C62" t="s">
        <v>117</v>
      </c>
      <c r="D62" t="s">
        <v>942</v>
      </c>
    </row>
    <row r="63" spans="2:4" x14ac:dyDescent="0.25">
      <c r="B63" t="s">
        <v>512</v>
      </c>
      <c r="C63" t="s">
        <v>117</v>
      </c>
      <c r="D63" t="s">
        <v>942</v>
      </c>
    </row>
    <row r="64" spans="2:4" x14ac:dyDescent="0.25">
      <c r="B64" t="s">
        <v>555</v>
      </c>
      <c r="C64" t="s">
        <v>117</v>
      </c>
      <c r="D64" t="s">
        <v>942</v>
      </c>
    </row>
    <row r="65" spans="2:4" x14ac:dyDescent="0.25">
      <c r="B65" t="s">
        <v>856</v>
      </c>
      <c r="C65" t="s">
        <v>117</v>
      </c>
      <c r="D65" t="s">
        <v>942</v>
      </c>
    </row>
    <row r="66" spans="2:4" x14ac:dyDescent="0.25">
      <c r="B66" t="s">
        <v>757</v>
      </c>
      <c r="C66" t="s">
        <v>953</v>
      </c>
      <c r="D66" t="s">
        <v>942</v>
      </c>
    </row>
    <row r="67" spans="2:4" x14ac:dyDescent="0.25">
      <c r="B67" t="s">
        <v>699</v>
      </c>
      <c r="C67" t="s">
        <v>953</v>
      </c>
      <c r="D67" t="s">
        <v>942</v>
      </c>
    </row>
    <row r="68" spans="2:4" x14ac:dyDescent="0.25">
      <c r="B68" t="s">
        <v>570</v>
      </c>
      <c r="C68" t="s">
        <v>953</v>
      </c>
      <c r="D68" t="s">
        <v>942</v>
      </c>
    </row>
    <row r="69" spans="2:4" x14ac:dyDescent="0.25">
      <c r="B69" t="s">
        <v>954</v>
      </c>
      <c r="C69" t="s">
        <v>953</v>
      </c>
      <c r="D69" t="s">
        <v>942</v>
      </c>
    </row>
    <row r="70" spans="2:4" x14ac:dyDescent="0.25">
      <c r="B70" t="s">
        <v>526</v>
      </c>
      <c r="C70" t="s">
        <v>953</v>
      </c>
      <c r="D70" t="s">
        <v>942</v>
      </c>
    </row>
    <row r="71" spans="2:4" x14ac:dyDescent="0.25">
      <c r="B71" t="s">
        <v>557</v>
      </c>
      <c r="C71" t="s">
        <v>953</v>
      </c>
      <c r="D71" t="s">
        <v>942</v>
      </c>
    </row>
    <row r="72" spans="2:4" x14ac:dyDescent="0.25">
      <c r="B72" t="s">
        <v>733</v>
      </c>
      <c r="C72" t="s">
        <v>955</v>
      </c>
      <c r="D72" t="s">
        <v>942</v>
      </c>
    </row>
    <row r="73" spans="2:4" x14ac:dyDescent="0.25">
      <c r="B73" t="s">
        <v>96</v>
      </c>
      <c r="C73" t="s">
        <v>955</v>
      </c>
      <c r="D73" t="s">
        <v>942</v>
      </c>
    </row>
    <row r="74" spans="2:4" x14ac:dyDescent="0.25">
      <c r="B74" t="s">
        <v>640</v>
      </c>
      <c r="C74" t="s">
        <v>956</v>
      </c>
      <c r="D74" t="s">
        <v>942</v>
      </c>
    </row>
    <row r="75" spans="2:4" x14ac:dyDescent="0.25">
      <c r="B75" t="s">
        <v>687</v>
      </c>
      <c r="C75" t="s">
        <v>956</v>
      </c>
      <c r="D75" t="s">
        <v>942</v>
      </c>
    </row>
    <row r="76" spans="2:4" x14ac:dyDescent="0.25">
      <c r="B76" t="s">
        <v>746</v>
      </c>
      <c r="C76" t="s">
        <v>957</v>
      </c>
      <c r="D76" t="s">
        <v>942</v>
      </c>
    </row>
    <row r="77" spans="2:4" x14ac:dyDescent="0.25">
      <c r="B77" t="s">
        <v>806</v>
      </c>
      <c r="C77" t="s">
        <v>957</v>
      </c>
      <c r="D77" t="s">
        <v>942</v>
      </c>
    </row>
    <row r="78" spans="2:4" x14ac:dyDescent="0.25">
      <c r="B78" t="s">
        <v>803</v>
      </c>
      <c r="C78" t="s">
        <v>957</v>
      </c>
      <c r="D78" t="s">
        <v>942</v>
      </c>
    </row>
    <row r="79" spans="2:4" x14ac:dyDescent="0.25">
      <c r="B79" t="s">
        <v>811</v>
      </c>
      <c r="C79" t="s">
        <v>958</v>
      </c>
      <c r="D79" t="s">
        <v>942</v>
      </c>
    </row>
    <row r="80" spans="2:4" x14ac:dyDescent="0.25">
      <c r="B80" t="s">
        <v>840</v>
      </c>
      <c r="C80" t="s">
        <v>958</v>
      </c>
      <c r="D80" t="s">
        <v>942</v>
      </c>
    </row>
    <row r="81" spans="2:4" x14ac:dyDescent="0.25">
      <c r="B81" t="s">
        <v>780</v>
      </c>
      <c r="C81" t="s">
        <v>959</v>
      </c>
      <c r="D81" t="s">
        <v>942</v>
      </c>
    </row>
    <row r="82" spans="2:4" x14ac:dyDescent="0.25">
      <c r="B82" t="s">
        <v>808</v>
      </c>
      <c r="C82" t="s">
        <v>959</v>
      </c>
      <c r="D82" t="s">
        <v>942</v>
      </c>
    </row>
    <row r="83" spans="2:4" x14ac:dyDescent="0.25">
      <c r="B83" t="s">
        <v>782</v>
      </c>
      <c r="C83" t="s">
        <v>960</v>
      </c>
      <c r="D83" t="s">
        <v>942</v>
      </c>
    </row>
    <row r="84" spans="2:4" x14ac:dyDescent="0.25">
      <c r="B84" t="s">
        <v>835</v>
      </c>
      <c r="C84" t="s">
        <v>960</v>
      </c>
      <c r="D84" t="s">
        <v>942</v>
      </c>
    </row>
    <row r="85" spans="2:4" x14ac:dyDescent="0.25">
      <c r="B85" t="s">
        <v>709</v>
      </c>
      <c r="C85" t="s">
        <v>961</v>
      </c>
      <c r="D85" t="s">
        <v>942</v>
      </c>
    </row>
    <row r="86" spans="2:4" x14ac:dyDescent="0.25">
      <c r="B86" t="s">
        <v>962</v>
      </c>
      <c r="C86" t="s">
        <v>961</v>
      </c>
      <c r="D86" t="s">
        <v>942</v>
      </c>
    </row>
    <row r="87" spans="2:4" x14ac:dyDescent="0.25">
      <c r="B87" t="s">
        <v>110</v>
      </c>
      <c r="C87" t="s">
        <v>963</v>
      </c>
      <c r="D87" t="s">
        <v>942</v>
      </c>
    </row>
    <row r="88" spans="2:4" x14ac:dyDescent="0.25">
      <c r="B88" t="s">
        <v>92</v>
      </c>
      <c r="C88" t="s">
        <v>963</v>
      </c>
      <c r="D88" t="s">
        <v>942</v>
      </c>
    </row>
    <row r="89" spans="2:4" x14ac:dyDescent="0.25">
      <c r="B89" t="s">
        <v>550</v>
      </c>
      <c r="C89" t="s">
        <v>550</v>
      </c>
      <c r="D89" t="s">
        <v>942</v>
      </c>
    </row>
    <row r="90" spans="2:4" x14ac:dyDescent="0.25">
      <c r="B90" t="s">
        <v>35</v>
      </c>
      <c r="C90" t="s">
        <v>550</v>
      </c>
      <c r="D90" t="s">
        <v>942</v>
      </c>
    </row>
    <row r="91" spans="2:4" x14ac:dyDescent="0.25">
      <c r="B91" t="s">
        <v>538</v>
      </c>
      <c r="C91" t="s">
        <v>560</v>
      </c>
      <c r="D91" t="s">
        <v>942</v>
      </c>
    </row>
    <row r="92" spans="2:4" x14ac:dyDescent="0.25">
      <c r="B92" t="s">
        <v>990</v>
      </c>
      <c r="C92" t="s">
        <v>550</v>
      </c>
      <c r="D92" t="s">
        <v>942</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xml version="1.0" encoding="utf-8"?>
<Text><![CDATA[
]]></Text>
</file>

<file path=customXml/item2.xml><?xml version="1.0" encoding="utf-8"?>
<Text><![CDATA[
IsInList = LAMBDA(array,list,LET(\\LambdaName, "IsInList", MAP(array, LAMBDA(x, OR(list = x)))));
]]></Text>
</file>

<file path=customXml/item3.xml><?xml version="1.0" encoding="utf-8"?>
<Text><![CDATA[
PackWeight = LAMBDA(TerrainArray, LET(
   \\LambdaName, "PackWeight",
   _SpeedsTerr, Speeds[Terrain],
   _SpeedsSpeed, Speeds[Speed],
   _Terrain, TRIM(CHOOSECOLS(TerrainArray, 1)),
   _Cells, CHOOSECOLS(TerrainArray, 2),
   _Distance, _Cells / 2,
   _TerrSpeed, MAP(_Terrain, LAMBDA(name, XLOOKUP(name, _SpeedsTerr, _SpeedsSpeed, , 0))),
   _TimeAtBaseSpeed, _Distance / _TerrSpeed,
   _PackSumsTable, CumPack,
   _TotalBaseTime, SUM(_TimeAtBaseSpeed),
   _Result, VLOOKUP(_TotalBaseTime, _PackSumsTable, 2),
   _Result
));
]]></Text>
</file>

<file path=customXml/item4.xml><?xml version="1.0" encoding="utf-8"?>
<Text><![CDATA[
ALOOKUP = LAMBDA(LookupValue,LookupRange, LET(
   _GetAddresses, GetAddress((LookupRange)),
   _Result, FILTER(TOCOL(_GetAddresses), TOCOL(LookupRange) = LookupValue),
   _Result
));
]]></Text>
</file>

<file path=customXml/item5.xml>�� 
</file>

<file path=customXml/item6.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7.xml><?xml version="1.0" encoding="utf-8"?>
<Text><![CDATA[
PackWeightMult = LAMBDA(pack_weight,LET(\\LambdaName, "PackWeightMult", 1 - (pack_weight / 10000)));
]]></Text>
</file>

<file path=customXml/item8.xml><?xml version="1.0" encoding="utf-8"?>
<Text><![CDATA[
]]></Text>
</file>

<file path=customXml/item9.xml><?xml version="1.0" encoding="utf-8"?>
<Text><![CDATA[
]]></Text>
</file>

<file path=customXml/item10.xml><?xml version="1.0" encoding="utf-8"?>
<Text><![CDATA[
/*Gets the address of the range referenced in the cell.  */
GetAddress = LAMBDA(rng, LET(
   \\LambdaName, "GetAddress",
   \\CommandName, "Get Address",
   \\Description, "Gets the address of the range referenced in the cell",
   ADDRESS(ROW(rng), COLUMN(rng), 4)
));
]]></Text>
</file>

<file path=customXml/item11.xml><?xml version="1.0" encoding="utf-8"?>
<Text><![CDATA[
Base_Speed__km_h = B!$J$15:$J$20;
]]></Text>
</file>

<file path=customXml/item12.xml><?xml version="1.0" encoding="utf-8"?>
<Text><![CDATA[
TerrainBaseSpeed = LAMBDA(TerrainArray, LET(
   \\LambdaName, "TerrainBaseSpeed",
   _SpeedsTerr, Speeds[Terrain],
   _SpeedsSpeed, Speeds[Speed],
   _Terrain, CHOOSECOLS(TerrainArray, 1),
   _Result, MAP(_Terrain, LAMBDA(name, XLOOKUP(name, _SpeedsTerr, _SpeedsSpeed, , 0))),
   _Result
));
]]></Text>
</file>

<file path=customXml/item13.xml><?xml version="1.0" encoding="utf-8"?>
<Text><![CDATA[
NotInList = LAMBDA(array,list,LET(\\LambdaName, "NotInList", FILTER(array, NOT(IsInList(array, list)))));
]]></Text>
</file>

<file path=customXml/item14.xml><?xml version="1.0" encoding="utf-8"?>
<Text><![CDATA[
Movement = LAMBDA(input_array,LET(_InRows, ROWS(input_array) > 1, _Count, IF(_InRows, ROWS(input_array), COLUMNS(input_array)), _After, DROP(input_array, IF(_InRows, 1, 0), IF(_InRows, 0, 1)), _Before, TAKE(input_array, IF(_InRows, _Count - 1, 1), IF(_InRows, 1, _Count - 1)), _Result, IF(_After > _Before, "UP", IF(_After < _Before, "DOWN", "SAME")), _Result));
]]></Text>
</file>

<file path=customXml/item15.xml><?xml version="1.0" encoding="utf-8"?>
<Text><![CDATA[
/*Applies INDIRECT to array.  */
EZINDARR_byLiannaGerrish = LAMBDA(addarr,[sheetname], LET(
   \\LambdaName, "EZINDARR_byLiannaGerrish",
   \\Description, "Applies INDIRECT to array",
   IFERROR(
      MAP(
         addarr,
         LAMBDA(a,
            IF(
               OR(ISOMITTED(sheetname), sheetname = ""),
               INDIRECT(a),
               INDIRECT("'" & sheetname & "'!" & a)
            )
         )
      ),
      ""
   )
));
]]></Text>
</file>

<file path=customXml/item16.xml><?xml version="1.0" encoding="utf-8"?>
<Text><![CDATA[
/*Counts Errors in an array / range.  */
CountErrors = LAMBDA(_array, LET(
   \\LambdaName, "CountErrors",
   \\CommandName, "Count Errors",
   \\Description, "Counts Errors in an array / range",
   SUM(IF(ISERROR(_array), 1, 0))
));
]]></Text>
</file>

<file path=customXml/item17.xml><?xml version="1.0" encoding="utf-8"?>
<Text><![CDATA[
ArrayDistances = LAMBDA(TerrainArray, LET(
   \\LambdaName, "ArrayDistances",
   _Cells, CHOOSECOLS(TerrainArray, 2),
   _Result, _Cells / 2,
   _Result
));
]]></Text>
</file>

<file path=customXml/item18.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19.xml><?xml version="1.0" encoding="utf-8"?>
<Text><![CDATA[
/*Looks up an address from a range with columns in row 1 and rows in column 1.  */
AddressLookup = LAMBDA(addr,fullrange, LET(
   \\LambdaName, "AddressLookup",
   \\CommandName, "Address Lookup",
   \\Description, "Looks up an address from a range with columns in row 1 and rows in column 1",
   colheaders, DROP(TAKE(fullrange, 1), , 1),
   rowheaders, DROP(TAKE(fullrange, , 1), 1),
   dataarea, DROP(fullrange, 1, 1),
   addresses, TOCOL(colheaders & rowheaders),
   values, TOCOL(dataarea),
   XLOOKUP(addr, addresses, values)
));
]]></Text>
</file>

<file path=customXml/item20.xml><?xml version="1.0" encoding="utf-8"?>
<JSON><![CDATA[
{"Commands":[{"Name":"A - Calculations for Answer","Description":"A - calculations for answer.","Type":"ExcelFormulaCommand","Formula":"=IF([[ActiveCell.Offset(0,-1)]]\u003C[[ActiveCell.Offset(0,-5)]],[[ActiveCell.Offset(0,-2)]],[[ActiveCell.Offset(0,-6)]])","Tags":["Case-Specific"]},{"Name":"A - Get Range Name","Description":"A - get range name.","Type":"ExcelFormulaCommand","Formula":"=\u0022Shape\u0022\u0026TAKE(TAKE([[ActiveCell::Formula]],,-3),,1)","Tags":["Case-Specific"]},{"Name":"A - Link to range Bingo1","Description":"A - link to range bingo1.","Type":"ExcelFormulaCommand","Formula":"=Bingo1","Tags":["Case-Specific"]},{"Name":"A - Link to range Bingo2","Description":"A - link to range bingo2.","Type":"ExcelFormulaCommand","Formula":"=Bingo2","Tags":["Case-Specific"]},{"Name":"A - Link to range Game","Description":"A - link to range game.","Type":"ExcelFormulaCommand","Formula":"=Game","Tags":["Case-Specific"]},{"Name":"A - Name Ranges: American Bingo","Description":"Name ranges for case American Bingo!","Type":"VBAMacroCommand","LaunchCodes":["NRA"],"MacroExpression":"modz_AmericanBingo.NameRanges_AmericanBingo()","Tags":["Name"]},{"Name":"Add Array to Array 2 Cells Above","Description":"Add array to array 2 cells up","Type":"ExcelFormulaCommand","LaunchCodes":["AA2U"],"Formula":"=[[ActiveCell::Formula]]\u002B[[ActiveCell.Offset(-2,0).Cells(1,1).SpillingToRange]]","Tags":["Formula"]},{"Name":"Add Array to Left","Description":"Adds the whole array immediately to the left to the active array.","Type":"ExcelFormulaCommand","UserContextFilter":"ExcelActiveCellIsSpillParent;ExcelSelectionIsSingleCell","Note":"Resolves the neighbouring block through its SpillParent, so it adds the WHOLE array. Companion to Multiply Array to Left and Subtract Array to Left - a family for combining blocks laid side by side and touching.","Formula":"=[[ActiveCell::Formula]]\u002B[[ActiveCell.Offset(0,-1).SpillParent.SpillingToRange]]"},{"Name":"Add Link To Right","Description":"Adds formula to right referencing the range of active cell.","Type":"ExcelFormulaCommand","LaunchCodes":["cr"],"Formula":"=[[Selection]]","DestinationRangeAddress":"[[ActiveCell.Columns(1).AdjacentBlank.Cells(1,1)]]","Tags":["Paste"]},{"Name":"Add Value","Description":"Adds a given amount to the active cell or array.","Type":"ExcelFormulaCommand","Parameters":[{"Name":"Amount","Type":"InputParameter","DataType":"Integer","Prompt":"Add how much"}],"Note":"Applies an opening figure or a flat adjustment across a whole array - a starting balance, an opening stock level, a baseline. Note Subtract Array From Value is not its mirror: that one reverses the operands, giving value minus array.","Formula":"=([[ActiveCell::Formula]])\u002B{{Amount}}"},{"Name":"Address Lookup from Parameter Range Name","Description":"Looks up an address from a range with columns in row 1 and rows in column 1","Type":"ExcelFormulaCommand","LaunchCodes":["al"],"Formula":"=AddressLookup([[ActiveCell::Formula]],{{Lookup Range}})","Tags":["Lookup"],"FormulaDependencies":["AddressLookup.lambda"]},{"Name":"Address Lookup on Value Above","Description":"Apply ALOOKUP lambda function to active cell.","Type":"ExcelFormulaCommand","Note":"Returns the address for all cells in the referenced range that have the value above the parent cell\r\n","LaunchCodes":["AL"],"Formula":"=ALOOKUP([[ActiveCell.Offset(-1,0)]],[[ActiveCell::Formula]])","Tags":["Lookup"],"FormulaDependencies":["ALOOKUP.lambda","GetAddress.lambda"]},{"Name":"Address Lookup on Value to Left","Description":"Apply ALOOKUP lambda function to active cell.","Type":"ExcelFormulaCommand","Note":"Returns the address for all cells in the referenced range that have the value to the left of the parent cell\r\n","LaunchCodes":["AL"],"Formula":"=ALOOKUP([[ActiveCell.Offset(0,-1)]],[[ActiveCell::Formula]])","Tags":["Lookup"],"FormulaDependencies":["ALOOKUP.lambda","GetAddress.lambda"]},{"Name":"Apply EZINDIRECT to array in cell","Description":"Apply EZINDARR_byLiannaGerrish lambda function to active formula.","Type":"ExcelFormulaCommand","Formula":"=EZINDARR_byLiannaGerrish([[ActiveCell::Formula]])","FormulaDependencies":["EZINDARR_byLiannaGerrish.lambda"]},{"Name":"B - Add DOWN multiplier","Description":"B - add down multiplier.","Type":"ExcelFormulaCommand","Formula":"=HSTACK(IF([[ActiveCell::Formula]]=\u0022DOWN\u0022,1.5,1),1)","Tags":["Case-Specific"]},{"Name":"B - Add UP movements","Description":"B - add up movements.","Type":"ExcelFormulaCommand","Formula":"=HSTACK(IF([[ActiveCell::Formula]]=\u0022UP\u0022,0.25,0),0)","Tags":["Case-Specific"]},{"Name":"B - Address Lookup from SpeedMap","Description":"Looks up an address from a range with columns in row 1 and rows in column 1","Type":"ExcelFormulaCommand","Formula":"=AddressLookup([[ActiveCell::Formula]],SpeedMapWHdr)","Tags":["Case-Specific"],"FormulaDependencies":["AddressLookup.lambda"]},{"Name":"B - Address Lookup from TerrainMap","Description":"Looks up an address from a range with columns in row 1 and rows in column 1","Type":"ExcelFormulaCommand","Formula":"=AddressLookup([[ActiveCell::Formula]],TerrMapWHdr)","Tags":["Case-Specific"],"FormulaDependencies":["AddressLookup.lambda"]},{"Name":"B - Address Lookup from TopoMap","Description":"Looks up an address from a range with columns in row 1 and rows in column 1","Type":"ExcelFormulaCommand","Formula":"=AddressLookup([[ActiveCell::Formula]],TopoMapWHdr)","Tags":["Case-Specific"],"FormulaDependencies":["AddressLookup.lambda"]},{"Name":"B - Apply EZINDIRECT to array in cell from TerrainMap sheet","Description":"Apply EZINDARR_byLiannaGerrish lambda function to active formula from TerrainMap sheet","Type":"ExcelFormulaCommand","Formula":"=EZINDARR_byLiannaGerrish([[EachCell::Formula]],\u0022TerrainMap\u0022)","FormulaDependencies":["EZINDARR_byLiannaGerrish.lambda"]},{"Name":"B - Apply EZINDIRECT to array in cell from TopographicMap sheet","Description":"Apply EZINDARR_byLiannaGerrish lambda function to active formula from TopographicMap sheet","Type":"ExcelFormulaCommand","Formula":"=EZINDARR_byLiannaGerrish([[EachCell::Formula]],\u0022TopographicMap\u0022)","FormulaDependencies":["EZINDARR_byLiannaGerrish.lambda"]},{"Name":"B - Apply INDIRECT with TerrainMap Sheet","Description":"B - apply indirect with terrainmap sheet.","Type":"ExcelFormulaCommand","Formula":"=INDIRECT(\u0022TerrainMap![[ActiveCell::Value]]\u0022\r\n)","Tags":["WrapWith"]},{"Name":"B - Apply PackWeightMult Lambda","Description":"Apply PackWeightMult lambda function to active cell.","Type":"ExcelFormulaCommand","Formula":"=PackWeightMult(PackWeight([[EachCell::Formula]]))","Tags":["Case-Specific"],"FormulaDependencies":["PackWeightMult.lambda","PackWeight.lambda"],"UpdateFormulaDependencies":true},{"Name":"B - B5 - Go To 5","Description":"Goes to first value that matches the number 5, if not found goes to cell below last cell","Type":"VBAMacroCommand","Note":"Goes to first value that matches the clipboard, if not found goes to cell below last cell","LaunchCodes":["GT"],"MacroExpression":"modNavigation.GoToValue(\u00225\u0022)","Tags":["Navigation"]},{"Name":"B - B5 - Paste Get Items Not in Terrain List","Description":"Apply NotInList lambda function to active cell, using Speed[Terrain] as array to check against.","Type":"ExcelFormulaCommand","Note":"Apply NotInList lambda function to active cell, using Terrain list as array to check against.","LaunchCodes":["PGNIL"],"Formula":"=NotInList(Speeds[Terrain],[[ActiveCell::Formula]])","Tags":["Formula"],"FormulaDependencies":["NotInList.lambda","IsInList.lambda"]},{"Name":"B - Bonus 1 calc","Description":"B - bonus 1 calc.","Type":"ExcelFormulaCommand","Formula":"=(TerrMap=\u0022Snow\u0022)*(TopoMap=\u0022800m\u002B\u0022)","Tags":["Case-Specific"]},{"Name":"B - Bonus 4 - set value to Rock","Description":"B - bonus 4 - set value to rock.","Type":"ExcelFormulaCommand","Formula":"=\u0022Rock\u0022"},{"Name":"B - Bonus 5 count of 5 Check","Description":"B - bonus 5 count of 5 check.","Type":"ExcelFormulaCommand","Formula":"=([[ActiveCell::Formula]]=5)","Tags":["Case-Specific"]},{"Name":"B - Calculate Total Time with Pack Adjustment","Description":"B - calculate total time with pack adjustment.","Type":"ExcelFormulaCommand","Formula":"=SUM(ArrayDistances([[EachCell::Formula]])/(TerrainBaseSpeed([[EachCell::Formula]])*PackWeightMult(PackWeight([[EachCell::Formula]]))))","Tags":["Case-Specific"],"FormulaDependencies":["ArrayDistances.lambda","TerrainBaseSpeed.lambda","PackWeightMult.lambda","PackWeight.lambda"]},{"Name":"B - Link to Level 3 Pack Weights","Description":"B - link to level 3 pack weights.","Type":"ExcelFormulaCommand","Formula":"=DROP(M151#,2)","Tags":["Case-Specific"]},{"Name":"B - Link to SpeedMap","Description":"B - Link to SpeedMap","Type":"ExcelFormulaCommand","Formula":"=SpeedMap","Tags":["Case-Specific"]},{"Name":"B - Link to TerrMap","Description":"B - Link to TerrMap","Type":"ExcelFormulaCommand","Formula":"=TerrMap","Tags":["Case-Specific"]},{"Name":"B - Lookup Column 2 of PackSums","Description":"Lookup column 2 from named range PackSums.","Type":"ExcelFormulaCommand","Formula":"=VLOOKUP([[ActiveCell.SpillParent.SpillingToRange]],[[[PackSums].CurrentRegion]],2)","DestinationRangeAddress":"[[ActiveCell.Offset(0,1).Cells(1,1).AdjacentBlank.Cells(1,1)]]","Tags":["Lookup"]},{"Name":"B - Lookup terrain speed","Description":"B - lookup terrain speed.","Type":"ExcelFormulaCommand","Formula":"=XLOOKUP([[ActiveCell::Formula]],Speeds[Terrain],Speeds[Speed])","Tags":["Case-Specific"]},{"Name":"B - Name Ranges: Bushland Adventures","Description":"Name ranges for case Bushland Adventures.","Type":"VBAMacroCommand","Note":"This is useful for this case only","LaunchCodes":["NRB"],"MacroExpression":"modz_BushlandAdventures.NameRanges_BushlandAdventures()","Tags":["Name"]},{"Name":"B - Name Ranges: Bushland Adventures Cum Pack","Description":"Name ranges bushland adventures cum pack.","Type":"VBAMacroCommand","LaunchCodes":["NRB2"],"MacroExpression":"modz_BushlandAdventures.NameRanges_BushlandAdventures_CumPack()","Tags":["Name"]},{"Name":"B - Remove Hours","Description":"Select last input column and remove \u0022 hours\u0022","Type":"VBAMacroCommand","MacroExpression":"modNavigation.SelectInputAndRemove(\u0022 hours\u0022)","Tags":["Replace"]},{"Name":"B - Remove KM","Description":"Select input 1 to the left of last input and remove \u0022km\u0022.","Type":"VBAMacroCommand","MacroExpression":"modNavigation.SelectInputPre1AndRemove(\u0022km\u0022)","Tags":["Replace"]},{"Name":"B - Scan above array with Arrow Shift","Description":"B - scan above array with arrow shift from current cell value in direction of copied cell.","Type":"ExcelFormulaCommand","Formula":"=HSTACK([[ActiveCell::Formula]],SCAN([[ActiveCell::Formula]],[[ActiveCell.Offset(-1,0).SpillParent.SpillingToRange]],LAMBDA(a,v,ARROWSHIFT(a,[[Clipboard]]))))","Tags":["Case-Specific"],"FormulaDependencies":["ARROWSHIFT.lambda"]},{"Name":"B - Speed Multiplier","Description":"B - speed multiplier.","Type":"ExcelFormulaCommand","Formula":"=(1-[[ActiveCell::Formula]]/10000)"},{"Name":"C - Balance From 1500","Description":"AS ABOVE WITH INPUT \u00221500\u0022","Type":"ExcelFormulaCommand","UserContextFilter":"ExcelActiveCellIsSpillParent;ExcelSelectionIsSingleCell","Note":"Case-specific wrapper: players start this case with a bank balance of $1,500.","Formula":"=1500-[[ActiveCell::Formula]]","Tags":["WrapWith","Convert"]},{"Name":"C - Board Position","Description":"AS ABOVE WITH INPUT \u002240\u0022","Type":"ExcelFormulaCommand","UserContextFilter":"ExcelActiveCellIsSpillParent;ExcelSelectionIsSingleCell","Note":"Case-specific wrapper: wraps cumulative movement to a position on this case\u0027s 40-space board. Plain MOD, not XMOD, because the board is 0-based - New is Cell # 0.","Formula":"=MOD([[ActiveCell::Formula]],40)","Tags":["WrapWith"]},{"Name":"C - Collect $200 Passing New","Description":"AS ABOVE WITH INPUT \u0022200\u0022","Type":"ExcelFormulaCommand","Note":"Case-specific wrapper: turns a lap count into money collected for passing or landing on New. Board[Cashflow] holds 0 for New so this is the only place that $200 is credited.","Formula":"=([[ActiveCell::Formula]])*200"},{"Name":"C - Count Double Sixes","Description":"AS ABOVE WITH INPUT \u0022\u2685 \u2685\u0022","Type":"ExcelFormulaCommand","UserContextFilter":"ExcelActiveCellIsSpillParent;ExcelSelectionIsSingleCell","Note":"Case-specific wrapper: throws of 12 in each game row\u0027s dice string. A throw is two faces separated by a space and throws by \u0027;\u0027, so the text can only match a whole throw.","Formula":"=CountOcc_byHadynWiseman(\u0022\u2685 \u2685\u0022,[[ActiveCell::Formula]])"},{"Name":"C - Count In Board Categories","Description":"AS ABOVE WITH INPUT \u0022Board[Category]\u0022","Type":"ExcelFormulaCommand","UserContextFilter":"ExcelActiveCellIsSpillParent;ExcelSelectionIsSingleCell","Note":"Case-specific wrapper: turns each category into the number of functions in it on the board (0 for no category).","Formula":"=CountMatches_byJaqKennedy(Board[Category],[[ActiveCell::Formula]])"},{"Name":"C - Dice Rolls To Totals","Description":"AS ABOVE WITH INPUT \u0022;\u0022","Type":"ExcelFormulaCommand","UserContextFilter":"ExcelActiveCellIsSpillParent;ExcelSelectionIsSingleCell","Note":"Case-specific wrapper: this case separates each roll with a semicolon.","Formula":"=Dice_byHadynWiseman(TEXTSPLIT(TEXTJOIN(\u0022|\u0022,,[[ActiveCell::Formula]]),\u0022;\u0022,\u0022|\u0022,,,\u0022\u0022),TRUE)","Tags":["WrapWith","Lambda"]},{"Name":"C - First Complete Turn Else 50","Description":"AS ABOVE WITH INPUT \u00220\u0022, \u002250\u0022","Type":"ExcelFormulaCommand","UserContextFilter":"ExcelActiveCellIsSpillParent;ExcelSelectionIsSingleCell","Note":"Case-specific wrapper: first move where owned minus category size is 0 (a category completed), 50 if never.","Formula":"=LET(_a,([[ActiveCell::Formula]]),BYROW(_a,LAMBDA(_r,IFERROR(XMATCH(0,_r),50))))"},{"Name":"C - Laps Completed","Description":"AS ABOVE WITH INPUT \u002240\u0022","Type":"ExcelFormulaCommand","UserContextFilter":"ExcelActiveCellIsSpillParent;ExcelSelectionIsSingleCell","Note":"Case-specific wrapper: whole laps of this case\u0027s 40-space board, counted from cumulative movement. Landing exactly on New counts as a lap, which is correct - the $200 is collected for passing OR landing.","Formula":"=INT([[ActiveCell::Formula]]/40)"},{"Name":"C - Lookup Board Cashflow","Description":"AS ABOVE WITH INPUT \u0022Board\u0022, \u00226\u0022","Type":"ExcelFormulaCommand","UserContextFilter":"ExcelActiveCellIsSpillParent;ExcelSelectionIsSingleCell","Note":"Case-specific wrapper: looks board positions up in the Board table and returns the Cashflow column - the signed fine or bonus for landing there. New is 0; its $200 is credited by C - Collect $200 Passing New instead.","Formula":"=VLOOKUP([[ActiveCell::Formula]],Board,6,FALSE)"},{"Name":"C - Lookup Board Category","Description":"AS ABOVE WITH INPUT \u0022Board\u0022, \u00223\u0022","Type":"ExcelFormulaCommand","UserContextFilter":"ExcelActiveCellIsSpillParent;ExcelSelectionIsSingleCell","Note":"Case-specific wrapper: looks board positions up in the Board table and returns the Category column (0 where the space has no category).","Formula":"=VLOOKUP([[ActiveCell::Formula]],Board,3,FALSE)","Tags":["WrapWith","Lookup"]},{"Name":"C - Lookup Board Price","Description":"AS ABOVE WITH INPUT \u0022Board\u0022, \u00224\u0022","Type":"ExcelFormulaCommand","UserContextFilter":"ExcelActiveCellIsSpillParent;ExcelSelectionIsSingleCell","Note":"Case-specific wrapper: looks board positions up in the Board table and returns the Price column.","Formula":"=VLOOKUP([[ActiveCell::Formula]],Board,4,FALSE)","Tags":["WrapWith","Lookup"]},{"Name":"C - Name Ranges: Collect Them All","Description":"Name ranges for case Collect Them All: builds the Board table with a numeric Cashflow column, activates the Case sheet with its used range selected, then fixes the layout - single-row merges to centre across selection, multi-row merges unmerged with the value kept top-left.","Type":"VBAMacroCommand","Note":"This is useful for this case only","LaunchCodes":["NRC"],"MacroExpression":"modz_CollectThemAll.NameRanges_CollectThemAll()","Tags":["Name"]},{"Name":"C - Select Dice Rolls Inputs","Description":"AS ABOVE WITH INPUT \u0022Dice Rolls\u0022","Type":"VBAMacroCommand","Note":"Case-specific wrapper: every game\u0027s dice rolls from the CaseInputs sheet.","MacroExpression":"modNavigation.SelectInputColumn(\u0022Dice Rolls\u0022)"},{"Name":"C - Select Level 4 Inputs","Description":"Selects the Level 4 Dice Rolls column (two rows per game) from the first data row below the two-row example block to the bottom of the data. Case-specific: the generic Select First / Last Input assume a one-row example.","Type":"VBAMacroCommand","Note":"This is useful for this case only","MacroExpression":"modz_CollectThemAll.SelectLevel4Inputs()"},{"Name":"C - Select Level 5 Inputs","Description":"Selects the Level 5 Dice Rolls column (two rows per game) from the first data row below the two-row example block to the bottom of the data. Case-specific: the generic Select First / Last Input assume a one-row example.","Type":"VBAMacroCommand","Note":"This is useful for this case only","MacroExpression":"modz_CollectThemAll.SelectLevel5Inputs()"},{"Name":"C - Starting Balance 1500","Description":"AS ABOVE WITH INPUT \u00221500\u0022","Type":"ExcelFormulaCommand","Note":"Case-specific wrapper: adds the $1,500 both players start with to a running total of gains and losses, giving the bank balance after each turn.","Formula":"=([[ActiveCell::Formula]])\u002B1500"},{"Name":"Compact Rows Left","Description":"Drops zeros and blanks from each row and packs the remaining values to the left, padding to the original width.","Type":"ExcelFormulaCommand","UserContextFilter":"ExcelActiveCellIsSpillParent;ExcelSelectionIsSingleCell","Note":"A per-row FILTER on its own gives ragged rows, which cannot spill. Padding back to the original width with EXPAND keeps the result rectangular, so it can sit on the sheet and be wrapped further - e.g. Keep First Column Of Array for the first hit, or read across for the order things were collected.","LaunchCodes":["CRL"],"Formula":"=LET(x,[[ActiveCell::Formula]],w,COLUMNS(x),DROP(REDUCE(\u0022\u0022,SEQUENCE(ROWS(x)),LAMBDA(a,i,LET(r,CHOOSEROWS(x,i),f,FILTER(r,(r\u003C\u003E0)*(r\u003C\u003E\u0022\u0022),\u0022\u0022),VSTACK(a,EXPAND(f,1,w,\u0022\u0022))))),1))","Tags":["WrapWith"]},{"Name":"Copy Paste Values","Description":"Copy paste values.","Type":"VBAMacroCommand","LaunchCodes":["v"],"MacroExpression":"modUtilities.CopyPasteValues()"},{"Name":"Copy To Clipboard","Description":"Copy to clipboard.","Type":"VBAMacroCommand","LaunchCodes":["C"],"MacroExpression":"modUtilities.CopyToClipboard()","Tags":["Paste"]},{"Name":"Count Columns Of ArrayS","Description":"Wraps active array formula with COLUMNS function.","Type":"ExcelFormulaCommand","UserContextFilter":"ExcelActiveCellIsSpillParent","LaunchCodes":["cc"],"Formula":"=COLUMNS([[EachCell::Formula]])","ScrollToDestination":false,"Tags":["Array"]},{"Name":"Count Each Value In Range","Description":"Replaces each value of the active array with how many cells of a named range, table column or array equal it.","Type":"ExcelFormulaCommand","Parameters":[{"Name":"Range","Type":"InputParameter","DataType":"String","Prompt":"Range, table column or array to count in (e.g. Board[Category])"}],"UserContextFilter":"ExcelActiveCellIsSpillParent;ExcelSelectionIsSingleCell","Note":"Wraps CompBot\u0027s CountMatches_byJaqKennedy lambda (arrives with Import Lambda Library). A per-value COUNTIF that also takes arrays, matches * ? ~ \u003E \u003C literally and never counts blank cells - so a 0 is not matched by empty cells. Same shape in and out.","Formula":"=CountMatches_byJaqKennedy({{Range}},[[ActiveCell::Formula]])"},{"Name":"Count Errors","Description":"Counts Errors in an array / range","Type":"ExcelFormulaCommand","Note":"Counts errors in the active range","LaunchCodes":["CE"],"Formula":"=CountErrors([[ActiveCell::Formula]])","Tags":["Formula"],"FormulaDependencies":["CountErrors.lambda"]},{"Name":"Count Text Occurrences","Description":"Replaces each value of the active array with how many times a given text occurs inside it.","Type":"ExcelFormulaCommand","Parameters":[{"Name":"Text","Type":"InputParameter","DataType":"String","Prompt":"Text to count (in quotes)"}],"UserContextFilter":"ExcelActiveCellIsSpillParent;ExcelSelectionIsSingleCell","Note":"Wraps CompBot\u0027s CountOcc_byHadynWiseman lambda (arrives with Import Lambda Library). Not case-sensitive; overlapping matches are not double-counted. Same shape in and out - follow with Sum Array for a total. Put the text in quotes.","Formula":"=CountOcc_byHadynWiseman({{Text}},[[ActiveCell::Formula]])"},{"Name":"Count Unique Values In ArrayS","Description":"Wrap with CountEachUniqueValue Lambda function.","Type":"ExcelFormulaCommand","UserContextFilter":"ExcelActiveCellIsSpillParent;ExcelSelectionIsMultipleCells","Note":"Great for using in competitions to answer questions like \u0022which brand is mentioned the most in the data?\u0022","Documentation":["Count Unique Values In Array.md"],"LaunchCodes":["cu"],"Formula":"=CountEachUniqueValue([[EachCell::Formula]])","ScrollToDestination":false,"Tags":["WrapWith","LAMBDA","Vol1"],"FormulaDependencies":["CountEachUniqueValue.lambda"],"UpdateFormulaDependencies":true},{"Name":"Create Calc Sheet","Description":"Creates a blank sheet for calculations","Type":"VBAMacroCommand","LaunchCodes":["ccs","calc","sht"],"MacroExpression":"modMisc.CreateBlankSheet(\u0022Calcs\u0022)","Tags":["Prep"],"MacroWorkbookConnection":"ThisWorkbook"},{"Name":"Create Data Table from Array","Description":"Create data table.","Type":"VBAMacroCommand","UserContextFilter":"ExcelActiveCellIsInSpillingToRange","LaunchCodes":["DTA"],"MacroExpression":"modArrays.CreateDataTable()","Tags":["Prep"]},{"Name":"Ctrl Right","Description":"Ctrl right.","Type":"ExcelSendKeysCommand","Keystrokes":["CTRL\u002BRIGHTARROW"],"Tags":["Navigation"]},{"Name":"Dice Rolls To Totals","Description":"Converts a column of semicolon-separated dice rolls into a grid of roll totals, one column per roll.","Type":"ExcelFormulaCommand","Parameters":[{"Name":"Delimiter","Type":"InputParameter","DataType":"String","DefaultValue":";","Prompt":"Character separating each roll"}],"UserContextFilter":"ExcelActiveCellIsSpillParent;ExcelSelectionIsSingleCell","Note":"Each cell holds one game\u0027s rolls, e.g. \u00273 2;6 6;3 4\u0027. Returns a row of pip totals per game. TEXTSPLIT only accepts a single text value, so the column is joined with | as a row delimiter and split back out in two dimensions - one call instead of a REDUCE/VSTACK loop. Ragged rows pad with blank, which scores 0. Built on the Dice_byHadynWiseman lambda from CompBot\u0027s library.","LaunchCodes":["DRT"],"Formula":"=Dice_byHadynWiseman(TEXTSPLIT(TEXTJOIN(\u0022|\u0022,,[[ActiveCell::Formula]]),\u0022{{Delimiter}}\u0022,\u0022|\u0022,,,\u0022\u0022),TRUE)","Tags":["WrapWith","Lambda"]},{"Name":"Divide Array by Array to Left","Description":"Divide Array by Array 1 Column to the Left","Type":"ExcelFormulaCommand","LaunchCodes":["DAL"],"Formula":"=[[ActiveCell.SpillParent.SpillingToRange::Formula]]/[[ActiveCell.Offset(0,-1).SpillingToRange]]","Tags":["Formula"]},{"Name":"Divide by 2","Description":"Divide by 2","Type":"ExcelFormulaCommand","LaunchCodes":["d2"],"Formula":"=([[ActiveCell::Formula]])/2","Tags":["Convert"]},{"Name":"Divide By Value","Description":"Divides the active cell or array by a given amount, keeping only the whole number.","Type":"ExcelFormulaCommand","Parameters":[{"Name":"Divisor","Type":"InputParameter","DataType":"Integer","Prompt":"Divide by (e.g. board size)"}],"UserContextFilter":"ExcelActiveCellIsSpillParent;ExcelSelectionIsSingleCell","Note":"Whole-number division, so it counts how many times something fits - complete laps of an N-space board, whole boxes from a loose count, whole weeks from a run of days. The partner to Modulo Array: that gives the remainder, this gives the quotient.","Formula":"=INT([[ActiveCell::Formula]]/{{Divisor}})"},{"Name":"Duplicate Array Formula 2 To Right","Description":"Adds array formula to right referencing the spill range of active array, added with a gap of 1 column.","Type":"ExcelFormulaCommand","UserContextFilter":"ExcelActiveCellIsInSpillingToRange","LaunchCodes":["DF2"],"Formula":"=[[ActiveCell.SpillParent::Formula]]","DestinationRangeAddress":"[[ActiveCell.SpillParent.SpillingToRange.Columns(1).AdjacentBlank.Cells(1,1).Offset(0,1)]]","Tags":["Paste"]},{"Name":"Duplicate Array Formula To Right","Description":"Adds array formula to right referencing the spill range of active array.","Type":"ExcelFormulaCommand","UserContextFilter":"ExcelActiveCellIsInSpillingToRange","LaunchCodes":["df","dfr"],"Formula":"=[[ActiveCell.SpillParent::Formula]]","DestinationRangeAddress":"[[ActiveCell.SpillParent.SpillingToRange.Columns(1).AdjacentBlank.Cells(1,1)]]","Tags":["Paste"]},{"Name":"Duplicate ArrayS to Right","Description":"Adds array formula to right referencing the spill range of active arrays.","Type":"ExcelFormulaCommand","ShortCutSendKeyString":"Ctrl \u002B Shift \u002B r","UserContextFilter":"ExcelActiveCellIsInSpillingToRange","LaunchCodes":["da","dar"],"Formula":"=[[EachCell.SpillParent]]","DestinationRangeAddress":"[[EachCell.SpillParent.SpillingToRange.Columns(1).AdjacentBlank.Cells(1,1)]]"},{"Name":"Duplicate Formula To Right","Description":"Adds formula to right referencing the range of active formula.","Type":"ExcelFormulaCommand","UserContextFilter":"!ExcelActiveCellIsInSpillingToRange","LaunchCodes":["df","dfr"],"Formula":"=[[ActiveCell::Formula]]","DestinationRangeAddress":"[[ActiveCell.Columns(1).AdjacentBlank.Cells(1,1)]]","Tags":["Paste"]},{"Name":"Exclude Examples","Description":"Exclude examples.","Type":"VBAMacroCommand","Note":"Removes the top 2 rows from the active selection to select questions only. \r\nAssumes there is an example row at the top and a blank row below that.","LaunchCodes":["XE"],"MacroExpression":"modNavigation.ExcludeExamples()","Tags":["Navigation"]},{"Name":"First By Alternating Row Pairs","Description":"Treats the active array as consecutive row pairs and flags the first sighting of each value across the pair, reading the two rows\u0027 cells in alternating order (row A col 1, row B col 1, row A col 2, ...). 1 on first sight, 0 on every later repeat by either row. Same shape in and out - the interleave, First By Row and deinterleave happen inside the formula, so the block never widens.","Type":"ExcelFormulaCommand","UserContextFilter":"ExcelActiveCellIsSpillParent;ExcelSelectionIsSingleCell","Formula":"=LET(_a,([[ActiveCell::Formula]]),_r,ROWS(_a),_c,COLUMNS(_a),_w,MAKEARRAY(_r/2,2*_c,LAMBDA(_i,_j,INDEX(_a,2*_i-IF(ISODD(_j),1,0),ROUNDUP(_j/2,0)))),_m,MAKEARRAY(ROWS(_w),COLUMNS(_w),LAMBDA(_x,_y,IF(_y=1,1,--(SUM(--(INDEX(_w,_x,SEQUENCE(1,_y-1))=INDEX(_w,_x,_y)))=0)))),MAKEARRAY(_r,_c,LAMBDA(_i,_j,INDEX(_m,ROUNDUP(_i/2,0),2*_j-IF(ISODD(_i),1,0)))))"},{"Name":"First By Row","Description":"Flags the first time each value appears in a row - 1 on first sight, 0 on every repeat.","Type":"ExcelFormulaCommand","UserContextFilter":"ExcelActiveCellIsSpillParent;ExcelSelectionIsSingleCell","Note":"Multiply a value array by this mask to charge for something once per row however often it recurs - buying a board space, counting a visitor, billing a licence. Each row is independent; column 1 is always a first sight.","Formula":"=LET(_a,([[ActiveCell::Formula]]),MAKEARRAY(ROWS(_a),COLUMNS(_a),LAMBDA(_x,_y,IF(_y=1,1,--(SUM(--(INDEX(_a,_x,SEQUENCE(1,_y-1))=INDEX(_a,_x,_y)))=0)))))"},{"Name":"First Match By Row","Description":"Returns, for each row, the position of the first cell equal to a given value, or a fallback where the row never matches.","Type":"ExcelFormulaCommand","Parameters":[{"Name":"IfNotFound","Type":"InputParameter","DataType":"String","Prompt":"Result where the row never matches"},{"Name":"Value","Type":"InputParameter","DataType":"String","Prompt":"Value to find (text in quotes)"}],"UserContextFilter":"ExcelActiveCellIsSpillParent;ExcelSelectionIsSingleCell","Note":"Exact-match partner of First Under By Row. Answers \u0027on which step did this row first hit X\u0027 - a set completed, a target reached, a state entered. Returns the 1-based column position; an r x c array becomes r x 1. Put text values in quotes.","Formula":"=LET(_a,([[ActiveCell::Formula]]),BYROW(_a,LAMBDA(_r,IFERROR(XMATCH({{Value}},_r),{{IfNotFound}}))))"},{"Name":"First Negative By Row","Description":"Returns, for each row, the position of the first negative value.","Type":"ExcelFormulaCommand","UserContextFilter":"ExcelActiveCellIsSpillParent;ExcelSelectionIsSingleCell","Note":"The common case of First By Row Below, the way Multiply By 60 is the common case of Multiply By Value. Answers \u0027on which step did this row go into the red\u0027 - running out of money, stock oversold, a buffer exhausted. Returns the 1-based column position, or blank where the row never goes negative.","Formula":"=LET(_a,([[ActiveCell::Formula]]),BYROW(_a,LAMBDA(_r,IFERROR(XMATCH(TRUE,_r\u003C0),\u0022\u0022))))"},{"Name":"First Under By Row","Description":"Returns, for each row, the position of the first value under a given threshold.","Type":"ExcelFormulaCommand","Parameters":[{"Name":"Threshold","Type":"InputParameter","DataType":"Integer","Prompt":"Below what value"}],"UserContextFilter":"ExcelActiveCellIsSpillParent;ExcelSelectionIsSingleCell","Note":"Answers \u0027on which step did this row first drop under X\u0027 - running out of money, stock going negative, a level falling below a limit. First Negative By Row is the ready-made version for a threshold of zero. Returns the 1-based column position, or blank where the row never drops under.","Formula":"=LET(_a,([[ActiveCell::Formula]]),BYROW(_a,LAMBDA(_r,IFERROR(XMATCH(TRUE,_r\u003C{{Threshold}}),\u0022\u0022))))"},{"Name":"Get Address","Description":"Apply GetAddress lambda function to active cell.","Type":"ExcelFormulaCommand","Note":"Gets the address of the range referenced\r\n","LaunchCodes":["ADD"],"Formula":"=GetAddress([[ActiveCell::Formula]])","Tags":["Formula"],"FormulaDependencies":["GetAddress.lambda"]},{"Name":"Get Array 2 Up","Description":"Links to the array 2 rows up","Type":"ExcelFormulaCommand","LaunchCodes":["A2U"],"Formula":"=[[ActiveCell.Offset(-2,0).SpillParent.SpillingToRange]]","Tags":["Select"]},{"Name":"Get Array 3 Up","Description":"Links to the array 3 rows up","Type":"ExcelFormulaCommand","LaunchCodes":["a3u"],"Formula":"=[[ActiveCell.Offset(-3,0).SpillParent.SpillingToRange]]","Tags":["Select"]},{"Name":"Get Array 4 Up","Description":"Links to the array 4 rows up","Type":"ExcelFormulaCommand","LaunchCodes":["a4u"],"Formula":"=[[ActiveCell.Offset(-4,0).SpillParent.SpillingToRange]]","Tags":["Select"]},{"Name":"Get LEFT character","Description":"Get left character.","Type":"ExcelFormulaCommand","LaunchCodes":["L"],"Formula":"=LEFT([[ActiveCell::Formula]])","Tags":["Text_Editing"]},{"Name":"Get Movement","Description":"Apply Movement lambda function to active cell.","Type":"ExcelFormulaCommand","LaunchCodes":["m"],"Formula":"=Movement([[ActiveCell::Formula]])","Tags":["Formula"],"FormulaDependencies":["Movement.lambda"]},{"Name":"Get Sequence By Columns","Description":"Get sequence by columns.","Type":"ExcelFormulaCommand","LaunchCodes":["SC"],"Formula":"=SEQUENCE(,[[ActiveCell::Formula]])","Tags":["Formula"]},{"Name":"Go To Bonus 1","Description":"Go to bonus 1.","Type":"VBAMacroCommand","LaunchCodes":["B1"],"MacroExpression":"modNavigation.GoToBonus(1)","Tags":["Navigation"]},{"Name":"Go To Bonus 2","Description":"Go to bonus 2.","Type":"VBAMacroCommand","LaunchCodes":["B2"],"MacroExpression":"modNavigation.GoToBonus(2)","Tags":["Navigation"]},{"Name":"Go To Bonus 3","Description":"Go to bonus 3.","Type":"VBAMacroCommand","LaunchCodes":["B3"],"MacroExpression":"modNavigation.GoToBonus(3)","Tags":["Navigation"]},{"Name":"Go To Bonus 4","Description":"Go to bonus 4.","Type":"VBAMacroCommand","LaunchCodes":["B4"],"MacroExpression":"modNavigation.GoToBonus(4)","Tags":["Navigation"]},{"Name":"Go To Bonus 5","Description":"Go to bonus 5.","Type":"VBAMacroCommand","LaunchCodes":["B5"],"MacroExpression":"modNavigation.GoToBonus(5)","Tags":["Navigation"]},{"Name":"Go To Bonuses","Description":"Go to bonus questions","Type":"VBAMacroCommand","Note":"Navigate to Target Level","LaunchCodes":["B"],"MacroExpression":"modNavigation.GoToLevel(0)","Tags":["Navigation"]},{"Name":"Go To Calc Sheet","Description":"Goes to the next free slot on the Calcs sheet (row 4, one blank column after the last block), creating the sheet if it is missing.","Type":"VBAMacroCommand","Note":"For side calculations that must not spill into case data - e.g. a bonus built from the CaseInputs sheet. Only moves the selection, so a copy made before it survives: Copy To Clipboard -\u003E Go To Calc Sheet -\u003E Paste As References. Creating the sheet cancels a copy, so create it first (Create Calc Sheet, at setup).","MacroExpression":"modNavigation.GoToCalcSheet()"},{"Name":"Go to First Cell in Row","Description":"Go to first cell in row / home","Type":"ExcelSendKeysCommand","Keystrokes":["HOME"],"Tags":["Navigation"]},{"Name":"Go To Level 1","Description":"Go to level 1.","Type":"VBAMacroCommand","Note":"Navigate to Target Level","LaunchCodes":["L1"],"MacroExpression":"modNavigation.GoToLevel(1)","Tags":["Navigation"]},{"Name":"Go To Level 2","Description":"Go to level 2","Type":"VBAMacroCommand","Note":"Navigate to Target Level","LaunchCodes":["L2"],"MacroExpression":"modNavigation.GoToLevel(2)","Tags":["Navigation"]},{"Name":"Go To Level 3","Description":"Go to level 3","Type":"VBAMacroCommand","Note":"Navigate to Target Level","LaunchCodes":["L3"],"MacroExpression":"modNavigation.GoToLevel(3)","Tags":["Navigation"]},{"Name":"Go To Level 4","Description":"Go to level 4","Type":"VBAMacroCommand","Note":"Navigate to Target Level","LaunchCodes":["L4"],"MacroExpression":"modNavigation.GoToLevel(4)","Tags":["Navigation"]},{"Name":"Go To Level 5","Description":"Go to level 5","Type":"VBAMacroCommand","Note":"Navigate to Target Level","LaunchCodes":["L5"],"MacroExpression":"modNavigation.GoToLevel(5)","Tags":["Navigation"]},{"Name":"Go To Level 6","Description":"Go to level 6","Type":"VBAMacroCommand","Note":"Navigate to Target Level","LaunchCodes":["L6"],"MacroExpression":"modNavigation.GoToLevel(6)","Tags":["Navigation"]},{"Name":"Go To Level 7","Description":"Go to level 7","Type":"VBAMacroCommand","Note":"Navigate to Target Level","LaunchCodes":["L7"],"MacroExpression":"modNavigation.GoToLevel(7)","Tags":["Navigation"]},{"Name":"Go To Value in Clipboard","Description":"Goes to first value that matches the clipboard, if not found goes to cell below last cell","Type":"VBAMacroCommand","Note":"Goes to first value that matches the clipboard, if not found goes to cell below last cell","LaunchCodes":["GT"],"MacroExpression":"modNavigation.GoToValue([[Clipboard]])","Tags":["Navigation"]},{"Name":"Indirect","Description":"Indirect.","Type":"ExcelFormulaCommand","LaunchCodes":["IND"],"Formula":"=INDIRECT([[ActiveCell::Formula]])","Tags":["Formula"]},{"Name":"Indirect By Cell of Array","Description":"Applies an INDIRECT by MAP","Type":"ExcelFormulaCommand","LaunchCodes":["ibc"],"Formula":"=MAP([[ActiveCell::Formula]],lambda(a,INDIRECT(a)))","Tags":["WrapWith"]},{"Name":"Indirect By Row","Description":"Applies an INDIRECT by row","Type":"ExcelFormulaCommand","LaunchCodes":["ibr"],"Formula":"=BYROW([[ActiveCell::Formula]],INDIRECT)","Tags":["WrapWith"]},{"Name":"Insert Blank Row Between Rows","Description":"Doubles the array\u0027s height with a blank row after every row: odd rows carry the values, even rows are empty text. Lets a one-row-per-game result be saved onto answer cells that sit on every other row.","Type":"ExcelFormulaCommand","UserContextFilter":"ExcelActiveCellIsSpillParent;ExcelSelectionIsSingleCell","Formula":"=LET(_a,([[ActiveCell::Formula]]),_r,ROWS(_a),_c,COLUMNS(_a),MAKEARRAY(2*_r,_c,LAMBDA(_i,_j,IF(ISODD(_i),INDEX(_a,(_i\u002B1)/2,_j),\u0022\u0022))))"},{"Name":"Invert Array","Description":"Inverts all values in array","Type":"ExcelFormulaCommand","LaunchCodes":["INV"],"Formula":"=1/([[ActiveCell::Formula]])","Tags":["Convert"]},{"Name":"Link Answer Cell","Description":"Link answer cell.","Type":"VBAMacroCommand","LaunchCodes":["ANS"],"MacroExpression":"modArrays.LinkAnswerCell()","Tags":["GoTo"]},{"Name":"Lookup Array from Column N","Description":"Looks each value of the active array up in a named range or table, returning a chosen column.","Type":"ExcelFormulaCommand","Parameters":[{"Name":"ColumnNumber","Type":"InputParameter","DataType":"Integer","Prompt":"Column number to return"},{"Name":"LookupRange","Type":"InputParameter","DataType":"String","Prompt":"Named range or table to look up in"}],"UserContextFilter":"ExcelActiveCellIsSpillParent;ExcelSelectionIsSingleCell","Note":"Generic sibling of \u0027Lookup from Column 2\u0027 taking the table/range name and column number as parameters. Emits the name itself, not a resolved address, so the formula stays readable and survives the table moving. Exact match. Wraps in place.","LaunchCodes":["LKN"],"Formula":"=VLOOKUP([[ActiveCell::Formula]],{{LookupRange}},{{ColumnNumber}},FALSE)","Tags":["WrapWith","Lookup"]},{"Name":"Lookup from Column 2","Description":"Lookup from named range column 2.","Type":"ExcelFormulaCommand","LaunchCodes":["lk2"],"Formula":"=VLOOKUP([[ActiveCell.SpillParent.SpillingToRange]],[[[{{LookupRange}}].CurrentRegion]],2)","DestinationRangeAddress":"[[ActiveCell.Offset(0,1).Cells(1,1).AdjacentBlank.Cells(1,1)]]","Tags":["Lookup"]},{"Name":"Make Array 2 To Right","Description":"Adds array formula 2 columns to the right referencing the active selection","Type":"ExcelFormulaCommand","UserContextFilter":"ExcelSelectionIsMultipleCells;ExcelSelectionIsSingleArea","LaunchCodes":["ma2r"],"Formula":"=[[Selection]]","DestinationRangeAddress":"[[ActiveCell.Offset(0,1).Cells(1,1).AdjacentBlank.Cells(1,1)]]","Tags":["Array"]},{"Name":"Make Array 3 To Right","Description":"Adds array formula 3 columns to the right referencing the active selection","Type":"ExcelFormulaCommand","UserContextFilter":"ExcelSelectionIsMultipleCells;ExcelSelectionIsSingleArea","LaunchCodes":["ma3r"],"Formula":"=[[Selection]]","DestinationRangeAddress":"[[ActiveCell.Offset(0,2).Cells(1,1).AdjacentBlank.Cells(1,1)]]","Tags":["Array"]},{"Name":"Make Array On Calc Sheet","Description":"Links the selected range into the next free slot on the Calcs sheet and selects it, ready to wrap.","Type":"VBAMacroCommand","UserContextFilter":"ExcelSelectionIsSingleArea","Note":"Make Array To Right for side calculations: the reference (=\u0027CaseInputs\u0027!$C$3:$C$152) lands on the Calcs sheet (created if missing), one blank column after the last block on row 4, so it never spills into case data. No clipboard - safe inside Run Commands From Sheet.","MacroExpression":"modNavigation.MakeArrayOnCalcSheet()"},{"Name":"Make Array To Right","Description":"Adds array formula to right referencing the active selection","Type":"ExcelFormulaCommand","UserContextFilter":"ExcelSelectionIsMultipleCells;ExcelSelectionIsSingleArea","LaunchCodes":["mar"],"Formula":"=[[Selection]]","DestinationRangeAddress":"[[ActiveCell.Cells(1,1).AdjacentBlank.Cells(1,1)]]","Tags":["Array"]},{"Name":"Max Of Row Pairs","Description":"Collapses each consecutive pair of rows to one row holding the larger value in each column. An r x c array becomes r/2 x c.","Type":"ExcelFormulaCommand","UserContextFilter":"ExcelActiveCellIsSpillParent;ExcelSelectionIsSingleCell","Formula":"=LET(_a,([[ActiveCell::Formula]]),_r,ROWS(_a),_c,COLUMNS(_a),MAKEARRAY(_r/2,_c,LAMBDA(_i,_j,MAX(INDEX(_a,2*_i-1,_j),INDEX(_a,2*_i,_j)))))"},{"Name":"Min Of Row Pairs","Description":"Collapses each consecutive pair of rows to one row holding the smaller value in each column. An r x c array becomes r/2 x c.","Type":"ExcelFormulaCommand","UserContextFilter":"ExcelActiveCellIsSpillParent;ExcelSelectionIsSingleCell","Formula":"=LET(_a,([[ActiveCell::Formula]]),_r,ROWS(_a),_c,COLUMNS(_a),MAKEARRAY(_r/2,_c,LAMBDA(_i,_j,MIN(INDEX(_a,2*_i-1,_j),INDEX(_a,2*_i,_j)))))"},{"Name":"Modulo Array","Description":"Wraps the active array with MOD by a given divisor.","Type":"ExcelFormulaCommand","Parameters":[{"Name":"Divisor","Type":"InputParameter","DataType":"Integer","Prompt":"Divide by (e.g. board size)"}],"UserContextFilter":"ExcelActiveCellIsSpillParent;ExcelSelectionIsSingleCell","Note":"Turns cumulative movement into a position on a looping board of N spaces, or any wrap-around remainder.","LaunchCodes":["MODA"],"Formula":"=MOD([[ActiveCell::Formula]],{{Divisor}})","Tags":["WrapWith"]},{"Name":"Modulo Array 1-Based","Description":"Wraps the active array with XMOD by a given divisor, so an exact multiple returns the divisor instead of 0.","Type":"ExcelFormulaCommand","Parameters":[{"Name":"Divisor","Type":"InputParameter","DataType":"Integer","Prompt":"Divide by (e.g. board size)"}],"UserContextFilter":"ExcelActiveCellIsSpillParent;ExcelSelectionIsSingleCell","Note":"The 1-based partner to Modulo Array. Use this where spaces are numbered 1..N and a full lap lands on N; use plain Modulo Array where they are numbered 0..N-1 and a full lap returns to 0. Built on the XMOD lambda.","LaunchCodes":["MOD1"],"Formula":"=XMOD_byJaqKennedy([[ActiveCell::Formula]],{{Divisor}})","Tags":["WrapWith","Lambda"]},{"Name":"Move Down 1","Description":"Move down 1 cell","Type":"VBAMacroCommand","Note":"Uses the Move function in VBA to move in specified direction","MacroExpression":"modNavigation.Move(1)","Tags":["Navigation"]},{"Name":"Move Down 2","Description":"Move down 2 cells","Type":"VBAMacroCommand","Note":"Uses the Move function in VBA to move in specified direction","MacroExpression":"modNavigation.Move(2)","Tags":["Navigation"]},{"Name":"Move Down 3","Description":"Move down 3 cells","Type":"VBAMacroCommand","Note":"Uses the Move function in VBA to move in specified direction","MacroExpression":"modNavigation.Move(3)","Tags":["Navigation"]},{"Name":"Move Down 4","Description":"Move down 4 cells","Type":"VBAMacroCommand","Note":"Uses the Move function in VBA to move in specified direction","MacroExpression":"modNavigation.Move(4)","Tags":["Navigation"]},{"Name":"Move Down Number in Clipboard","Description":"Move down the number of cells in the clipboard","Type":"VBAMacroCommand","UserContextFilter":"ClipboardHasAnyData","Note":"Uses the Move function in VBA to move in specified direction based on the number in the Clipboard","LaunchCodes":["DC"],"MacroExpression":"modNavigation.Move([[Clipboard]])","Tags":["Navigation"]},{"Name":"Move Left 1","Description":"Move left 1 cell","Type":"VBAMacroCommand","Note":"Uses the Move function in VBA to move in specified direction","MacroExpression":"modNavigation.Move(,-1)","Tags":["Navigation"]},{"Name":"Move Left 2","Description":"Move left 2 cells","Type":"VBAMacroCommand","Note":"Uses the Move function in VBA to move in specified direction","MacroExpression":"modNavigation.Move(,-2)","Tags":["Navigation"]},{"Name":"Move Left 3","Description":"Move left 3 cells","Type":"VBAMacroCommand","Note":"Uses the Move function in VBA to move in specified direction","MacroExpression":"modNavigation.Move(,-3)","Tags":["Navigation"]},{"Name":"Move Left 4","Description":"Move left 4 cells","Type":"VBAMacroCommand","Note":"Uses the Move function in VBA to move in specified direction","MacroExpression":"modNavigation.Move(,-4)","Tags":["Navigation"]},{"Name":"Move Right 1","Description":"Move right 1 cell","Type":"VBAMacroCommand","Note":"Uses the Move function in VBA to move in specified direction","MacroExpression":"modNavigation.Move(,1)","Tags":["Navigation"]},{"Name":"Move Right 11","Description":"Move right 11 cells","Type":"VBAMacroCommand","Note":"Uses the Move function in VBA to move in specified direction","MacroExpression":"modNavigation.Move(0,11)","Tags":["Navigation"]},{"Name":"Move Right 2","Description":"Move right 2 cells","Type":"VBAMacroCommand","Note":"Uses the Move function in VBA to move in specified direction","MacroExpression":"modNavigation.Move(,2)","Tags":["Navigation"]},{"Name":"Move Right 3","Description":"Move right 3 cells","Type":"VBAMacroCommand","Note":"Uses the Move function in VBA to move in specified direction","MacroExpression":"modNavigation.Move(,3)","Tags":["Navigation"]},{"Name":"Move Right 4","Description":"Move right 4 cells","Type":"VBAMacroCommand","Note":"Uses the Move function in VBA to move in specified direction","MacroExpression":"modNavigation.Move(0,4)","Tags":["Navigation"]},{"Name":"Move Right 5","Description":"Move right 5 cells","Type":"VBAMacroCommand","Note":"Uses the Move function in VBA to move in specified direction","MacroExpression":"modNavigation.Move(0,5)","Tags":["Navigation"]},{"Name":"Move Right 6","Description":"Move right 6 cells","Type":"VBAMacroCommand","Note":"Uses the Move function in VBA to move in specified direction","MacroExpression":"modNavigation.Move(0,6)","Tags":["Navigation"]},{"Name":"Move Up 1","Description":"Move up 1 cell","Type":"VBAMacroCommand","Note":"Uses the Move function in VBA to move in specified direction","MacroExpression":"modNavigation.Move(-1)","Tags":["Navigation"]},{"Name":"Move Up 2","Description":"Move up 2 cells","Type":"VBAMacroCommand","Note":"Uses the Move function in VBA to move in specified direction","MacroExpression":"modNavigation.Move(-2)","Tags":["Navigation"]},{"Name":"Move Up 3","Description":"Move up 3 cells","Type":"VBAMacroCommand","Note":"Uses the Move function in VBA to move in specified direction","MacroExpression":"modNavigation.Move(-3)","Tags":["Navigation"]},{"Name":"Move Up 4","Description":"Move up 4 cells","Type":"VBAMacroCommand","Note":"Uses the Move function in VBA to move in specified direction","MacroExpression":"modNavigation.Move(-4)","Tags":["Navigation"]},{"Name":"Multiply Array by Array Above","Description":"Multiply array by array above.","Type":"ExcelFormulaCommand","LaunchCodes":["MAA"],"Formula":"=[[ActiveCell::Formula]]*[[ActiveCell.Offset(-1,0).Cells(1,1).SpillingToRange]]","Tags":["Formula"]},{"Name":"Multiply Array by Left Most Array","Description":"Multiply array by left most array.","Type":"ExcelFormulaCommand","LaunchCodes":["MAL"],"Formula":"=[[ActiveCell::Formula]]*[[ActiveCell.CurrentRegion.Cells(1,1).SpillingToRange]]","Tags":["Formula"]},{"Name":"Multiply Array by Value 5 Cells Up","Description":"Multiply array by the value in the cell 5 cells above","Type":"ExcelFormulaCommand","LaunchCodes":["MA5U"],"Formula":"=[[ActiveCell::Formula]]*[[ActiveCell.Offset(-5,0).Cells(1,1)]]","Tags":["Formula"]},{"Name":"Multiply Array to Left","Description":"Multiplies the active array by the whole array immediately to its left.","Type":"ExcelFormulaCommand","UserContextFilter":"ExcelActiveCellIsSpillParent;ExcelSelectionIsSingleCell","Note":"Resolves the neighbouring block through its SpillParent, so it multiplies by the WHOLE array - unlike Divide Array by Array to Left and the \u0027Array Above\u0027 pair, which pick up only the single adjacent cell and so are wrong for any block more than one row or column deep. Use with blocks laid side by side and touching, as Duplicate Array Formula To Right leaves them.","Formula":"=[[ActiveCell::Formula]]*[[ActiveCell.Offset(0,-1).SpillParent.SpillingToRange]]"},{"Name":"Multiply By 1000","Description":"Multiply by 1000","Type":"ExcelFormulaCommand","LaunchCodes":["m1k"],"Formula":"=([[ActiveCell::Formula]])*1000","Tags":["Convert"]},{"Name":"Multiply By 2","Description":"Multiply by 2","Type":"ExcelFormulaCommand","LaunchCodes":["m2"],"Formula":"=([[ActiveCell::Formula]])*2","Tags":["Convert"]},{"Name":"Multiply By 60","Description":"Multiply by 60","Type":"ExcelFormulaCommand","LaunchCodes":["m60"],"Formula":"=([[ActiveCell::Formula]])*60","Tags":["Convert"]},{"Name":"Multiply By Value","Description":"Multiplies the active cell or array by a given amount.","Type":"ExcelFormulaCommand","Parameters":[{"Name":"Multiplier","Type":"InputParameter","DataType":"Integer","Prompt":"Multiply by"}],"Note":"The parameterised sibling of Multiply By 2 / 60 / 1000, for amounts that are not used often enough to earn their own command.","Formula":"=([[ActiveCell::Formula]])*{{Multiplier}}"},{"Name":"Name Range from Top Row","Description":"Name range from top row.","Type":"ExcelSendKeysCommand","LaunchCodes":["nt"],"Keystrokes":["CTRL\u002BSHIFT\u002BF3","ALT\u002BT","{ENTER}"],"Tags":["Name"]},{"Name":"Order Row Pairs By First Column","Description":"Treats the active array as consecutive row pairs and puts the row with the larger first-column value first in each pair; ties keep the existing order. The rest of the row travels with it.","Type":"ExcelFormulaCommand","UserContextFilter":"ExcelActiveCellIsSpillParent;ExcelSelectionIsSingleCell","Formula":"=LET(_a,([[ActiveCell::Formula]]),_r,ROWS(_a),_c,COLUMNS(_a),MAKEARRAY(_r,_c,LAMBDA(_i,_j,LET(_p,2*ROUNDUP(_i/2,0)-1,_q,_p\u002B1,_first,IF(_q\u003E_r,_p,IF(INDEX(_a,_p,1)\u003E=INDEX(_a,_q,1),_p,_q)),_second,IF(_first=_p,_q,_p),INDEX(_a,IF(ISODD(_i),_first,_second),_j)))))"},{"Name":"Paste Filter Array By Copied Cells in Column 1","Description":"Wraps array formula with function returning active array filtered by copied cells in first column of array.","Type":"ExcelFormulaCommand","UserContextFilter":"ClipboardHasExcelData","LaunchCodes":["pfa"],"Formula":"=FilterArray([[Selection.EachCell.SpillParent::Formula]],1,[[Clipboard.EachCell]])","DestinationRangeAddress":"[Selection.EachCell.SpillParent]","Tags":["Filter"],"FormulaDependencies":["IsInList.lambda","FilterArray.lambda"]},{"Name":"Paste Filter Array By Copied Cells in Row 1","Description":"Wraps array formula with function returning active array filtered by copied cells in first row of array.","Type":"ExcelFormulaCommand","UserContextFilter":"ClipboardHasExcelData","LaunchCodes":["pfa"],"Formula":"=TRANSPOSE(FilterArray(TRANSPOSE([[Selection.EachCell.SpillParent::Formula]]),1,[[Clipboard.EachCell]]))","DestinationRangeAddress":"[Selection.EachCell.SpillParent]","Tags":["Filter"],"FormulaDependencies":["IsInList.lambda","FilterArray.lambda"]},{"Name":"Paste Get Items Not in List","Description":"Apply NotInList lambda function to active cell, using clipboard as array to check against.","Type":"ExcelFormulaCommand","Note":"Apply NotInList lambda function to active cell, using clipboard as array to check against.","LaunchCodes":["PGNIL"],"Formula":"=NotInList([[Clipboard::AddressRelativeAbsolute]],[[ActiveCell::Formula]])","Tags":["Formula"],"FormulaDependencies":["NotInList.lambda","IsInList.lambda"]},{"Name":"Paste Join by Semicolon","Description":"Paste join by semicolon.","Type":"ExcelFormulaCommand","Note":"Joins the clipboard reference using semicolon by wrapping into a TEXTJOIN function","LaunchCodes":["PJ;"],"Formula":"=TEXTJOIN(\u0022;\u0022,TRUE,[[Clipboard]])","Tags":["Formula"]},{"Name":"Remove Columns Of ArrayS","Description":"Removes specified columns of array using RemoveCols lambda.","Type":"ExcelFormulaCommand","UserContextFilter":"ExcelActiveCellIsInSpillingToRange;ExcelSelectionIsMultipleCells","HelpImage":"Remove_Columns_Rows_Of_Array.png","LaunchCodes":["rc"],"Formula":"=RemoveCols([[EachCell.SpillParent::Formula]], {{Selected_Column_Indexes_In_Spilling_Range}})","DestinationRangeAddress":"[[EachCell.SpillParent]]","FormulaDependencies":["RemoveCols.lambda"]},{"Name":"Run Commands From Sheet","Description":"Run commands from sheet.","Type":"VBAMacroCommand","LaunchCodes":["run"],"MacroExpression":"modMisc.RunCommandsFromSheet([[ActiveCell]])","Tags":["Misc"]},{"Name":"Run Robot Command Line By Line","Description":"Run robot command line by line.","Type":"VBAMacroCommand","MacroExpression":"modUtilities.RunRobotCommandLineByLine({{CommandName}})"},{"Name":"Run Robot Command Line By Line With Clipboard","Description":"Run robot command line by line with clipboard.","Type":"VBAMacroCommand","MacroExpression":"modUtilities.RunRobotCommandLineByLineWithClipboard({{CommandName}})","Tags":["Misc"]},{"Name":"Running Count Of Each Value By Row","Description":"For each cell, how many times its value has appeared in its row so far, itself included - 1 on first sight, 2 on the second, and so on.","Type":"ExcelFormulaCommand","UserContextFilter":"ExcelActiveCellIsSpillParent;ExcelSelectionIsSingleCell","Note":"Counting partner of First By Row (which is this result = 1). Answers \u0027how many of this kind does the row hold by now\u0027 - functions owned per category, visits per space, repeats of a card. Each row is independent. Same shape in and out; works on a range reference or any array formula in the active cell.","Formula":"=LET(_a,([[ActiveCell::Formula]]),MAKEARRAY(ROWS(_a),COLUMNS(_a),LAMBDA(_x,_y,SUM(--(INDEX(_a,_x,SEQUENCE(1,_y))=INDEX(_a,_x,_y))))))"},{"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MacroExpression":"modNavigation.SaveAnswerToBonus(1)"},{"Name":"Save Answer To Bonus 2","Description":"Links the active cell (any sheet) into the Bonus 2 answer cell, goes there and copies it for the submission site.","Type":"VBAMacroCommand","UserContextFilter":"ExcelSelectionIsSingleCell","Note":"See Save Answer To Bonus 1.","MacroExpression":"modNavigation.SaveAnswerToBonus(2)"},{"Name":"Save Answer To Bonus 3","Description":"Links the active cell (any sheet) into the Bonus 3 answer cell, goes there and copies it for the submission site.","Type":"VBAMacroCommand","UserContextFilter":"ExcelSelectionIsSingleCell","Note":"See Save Answer To Bonus 1.","MacroExpression":"modNavigation.SaveAnswerToBonus(3)"},{"Name":"Save Answer To Bonus 4","Description":"Links the active cell (any sheet) into the Bonus 4 answer cell, goes there and copies it for the submission site.","Type":"VBAMacroCommand","UserContextFilter":"ExcelSelectionIsSingleCell","Note":"See Save Answer To Bonus 1.","MacroExpression":"modNavigation.SaveAnswerToBonus(4)"},{"Name":"Save Answer To Bonus 5","Description":"Links the active cell (any sheet) into the Bonus 5 answer cell, goes there and copies it for the submission site.","Type":"VBAMacroCommand","UserContextFilter":"ExcelSelectionIsSingleCell","Note":"See Save Answer To Bonus 1.","MacroExpression":"modNavigation.SaveAnswerToBonus(5)"},{"Name":"Scroll To Selection","Description":"Scroll to selection.","Type":"VBAMacroCommand","LaunchCodes":["ss"],"MacroExpression":"modNavigation.ScrollToSelection()","Tags":["Navigation"]},{"Name":"Select Array To Left","Description":"Selects the anchor of the array block immediately to the left of the active array - the same neighbour the \u0027Array to Left\u0027 formula family resolves through SpillParent. For blocks laid side by side and touching, as Duplicate Array Formula To Right leaves them.","Type":"VBAMacroCommand","UserContextFilter":"ExcelActiveCellIsSpillParent;ExcelSelectionIsSingleCell","MacroExpression":"modNavigation.SelectArrayToLeft()"},{"Name":"Select Array To Right","Description":"Selects the anchor of the array block immediately to the right of the active array - the cell just past this array\u0027s spill range, resolved through SpillParent. For blocks laid side by side and touching, as Duplicate Array Formula To Right leaves them.","Type":"VBAMacroCommand","UserContextFilter":"ExcelActiveCellIsSpillParent;ExcelSelectionIsSingleCell","MacroExpression":"modNavigation.SelectArrayToRight()"},{"Name":"Select Current Region","Description":"Select current region.","Type":"VBAMacroCommand","LaunchCodes":["SCR"],"MacroExpression":"modNavigation.SelectCurrentRegion()","Tags":["Navigation"]},{"Name":"Select Down","Description":"Select down. (ctrl shift down)","Type":"ExcelSendKeysCommand","Keystrokes":["CTRL\u002BSHIFT\u002B{DOWN}"],"Tags":["Navigation"]},{"Name":"Select Example And Questions","Description":"Select example and questions.","Type":"VBAMacroCommand","LaunchCodes":["SEQ"],"MacroExpression":"modNavigation.SelectExampleAndQuestions()","Tags":["Navigation"]},{"Name":"Select First Answer Cell","Description":"Go to first answer cell","Type":"VBAMacroCommand","LaunchCodes":["GFA","SFA"],"MacroExpression":"modNavigation.SelectFirstAnswerCell()","Tags":["Navigation"]},{"Name":"Select First Input","Description":"Select first input.","Type":"VBAMacroCommand","LaunchCodes":["fi"],"MacroExpression":"modNavigation.SelectFirstInput()","Tags":["Select"]},{"Name":"Select Input Column","Description":"Goes to the CaseInputs sheet and selects every value under a given header.","Type":"VBAMacroCommand","Parameters":[{"Name":"Header","Type":"InputParameter","DataType":"String","Prompt":"Header on the CaseInputs sheet"}],"Note":"Pairs with CompBot\u0027s Create Case Inputs Sheet (headers on row 2, one row per game from row 3, examples already excluded). Header match is whole-cell; the selection runs to the last filled cell of that column, so it fits any case. Failures go to the StatusBar.","MacroExpression":"modNavigation.SelectInputColumn({{Header}})"},{"Name":"Select Input Pre1 And Remove","Description":"Select input 1 to the left of last input and remove.","Type":"VBAMacroCommand","LaunchCodes":["r-1"],"MacroExpression":"modNavigation.SelectInputPre1AndRemove({{strRemove}})","Tags":["Replace"]},{"Name":"Select Last Column To Right","Description":"Select last column to right.","Type":"VBAMacroCommand","LaunchCodes":["LC"],"MacroExpression":"modNavigation.SelectLastColumnToRight()","Tags":["Navigation"]},{"Name":"Select Last Input","Description":"Select last input.","Type":"VBAMacroCommand","LaunchCodes":["LI"],"MacroExpression":"modNavigation.SelectLastInput()","Tags":["Select"]},{"Name":"Select Last Input And Remove","Description":"Select last input column and remove specified text.","Type":"VBAMacroCommand","LaunchCodes":["R-0"],"MacroExpression":"modNavigation.SelectInputAndRemove({{strRemove}})","Tags":["Replace"]},{"Name":"Select Next Column","Description":"Select next column.","Type":"VBAMacroCommand","LaunchCodes":["snc"],"MacroExpression":"modNavigation.SelectNextColumn()","Tags":["Select"]},{"Name":"Select Previous Column","Description":"Select previous column.","Type":"VBAMacroCommand","LaunchCodes":["spc"],"MacroExpression":"modNavigation.SelectPrevColumn()","Tags":["Select"]},{"Name":"Select Right","Description":"Select right. (ctrl shift right)","Type":"ExcelSendKeysCommand","Note":"Selects area to right of selection, including starting cell\r\n","Keystrokes":["CTRL\u002BSHIFT\u002BRIGHTARROW"],"Tags":["Navigation"]},{"Name":"Select Spill Range","Description":"Select spill range.","Type":"VBAMacroCommand","UserContextFilter":"ExcelActiveCellIsInSpillingToRange","LaunchCodes":["spill","ss"],"MacroExpression":"modNavigation.SelectSpillRange()","Tags":["Select"]},{"Name":"Split Text by Semicolon","Description":"Split text by delimiter ; and trim output.","Type":"ExcelFormulaCommand","LaunchCodes":["S;"],"Formula":"=TRIM(TEXTSPLIT([[ActiveCell::Formula]],\u0022;\u0022,,TRUE))","Tags":["WrapWith"]},{"Name":"Subtract 1","Description":"Subtract 1.","Type":"ExcelFormulaCommand","LaunchCodes":["S1"],"Formula":"=[[ActiveCell::Formula]]-1","Tags":["Convert"]},{"Name":"Subtract Array From Value","Description":"Subtracts the active array from a starting value.","Type":"ExcelFormulaCommand","Parameters":[{"Name":"StartValue","Type":"InputParameter","DataType":"Decimal","Prompt":"Starting value to subtract from"}],"UserContextFilter":"ExcelActiveCellIsSpillParent;ExcelSelectionIsSingleCell","Note":"Starting balance minus spend, or any \u0027value less running cost\u0027. The reverse of Subtract 1, which subtracts a constant from the array.","LaunchCodes":["SAV"],"Formula":"={{StartValue}}-[[ActiveCell::Formula]]","Tags":["WrapWith","Convert"]},{"Name":"Subtract Array to Left","Description":"Subtracts the whole array immediately to the left from the active array.","Type":"ExcelFormulaCommand","UserContextFilter":"ExcelActiveCellIsSpillParent;ExcelSelectionIsSingleCell","Note":"Active array minus its left neighbour - put the amount being taken away on the left. Resolves the neighbour through its SpillParent, so it subtracts the WHOLE array, unlike Divide Array by Array to Left which picks up only the single adjacent cell.","Formula":"=[[ActiveCell::Formula]]-[[ActiveCell.Offset(0,-1).SpillParent.SpillingToRange]]"},{"Name":"Sum By Step (step last)","Description":"Cumulative Sum by step where step is in the last column.","Type":"VBAMacroCommand","MacroExpression":"modArrays.SumByStep([Clipboard],True)","OutputRange":"[Selection]","UserContextFilter":"ClipboardHasExcelData"},{"Name":"Unique Rows and Columns of Array","Description":"Unique rows and columns of array.","Type":"ExcelFormulaCommand","LaunchCodes":["URC"],"Formula":"=UNIQUE(UNIQUE([[ActiveCell::Formula]]), TRUE)","Tags":["Keep"]},{"Name":"Unmerge Multi-Row Merges","Description":"Unmerges every merged area spanning more than one row on the active sheet, leaving the value in the top-left cell. Single-row merges are left alone for Merged To Centre Across Selection to handle.","Type":"VBAMacroCommand","MacroExpression":"modMisc.UnmergeMultiRowMerges()"},{"Name":"XLOOKUP Value in Arrays to Left","Description":"XLOOKUP cell value in arrays to left (1 column for lookup range, 2 columns for return range).","Type":"ExcelFormulaCommand","UserContextFilter":"ExcelActiveCellIsNotEmpty","LaunchCodes":["ll"],"Formula":"=XLOOKUP([[ActiveCell::Formula]],[[ActiveCell.Offset(0,-1).SpillParent.SpillingToRange]],[[ActiveCell.Offset(0,-2).SpillParent.SpillingToRange]])","Tags":["Formula"]},{"Name":"XMATCH Array in Cell with Paste Value","Description":"Applies XMATCH to the array in the cell, looking for the value in the Clipboard","Type":"ExcelFormulaCommand","Note":"Applies XMATCH to the array in the cell, looking for the value in the Clipboard","LaunchCodes":["PM"],"Formula":"=XMATCH([[Clipboard]],[[ActiveCell::Formula]],0)","Tags":["Formula"]},{"Name":"XMATCH with Array 2 Columns Left","Description":"Xmatch with left array (2 columns left).","Type":"ExcelFormulaCommand","LaunchCodes":["M2L"],"Formula":"=XMATCH([[ActiveCell::Formula]],[[ActiveCell.Offset(0,-2).SpillParent.SpillingToRange]],0)","Tags":["Formula"]},{"Name":"XMATCH with Array 2 Rows Up","Description":"Xmatch with above array (2 rows up).","Type":"ExcelFormulaCommand","LaunchCodes":["M2U"],"Formula":"=XMATCH([[ActiveCell::Formula]],[[ActiveCell.Offset(-2,0).SpillParent.SpillingToRange]],0)","Tags":["Formula"]},{"Name":"B - B5 - Game And Missing Terrain","Description":"Bonus 5 (Bushland Adventures): from the level 5 cell holding 5, builds game # | missing terrain letter | CONCAT beside it and links the Bonus 5 answer cell to the result.","Type":"VBAMacroCommand","MacroExpression":"modz_BushlandAdventures.Bonus5GameAndMissingTerrain()","Tags":["Case Specific"]}],"Texts":[{"Name":"AddressLookup.lambda","Description":"Definition of AddressLookup lambda function.","Type":"ExcelNameText","ContentType":"ExcelLambda","Location":"AddressLookup"},{"Name":"ALOOKUP.lambda","Description":"Definition of ALOOKUP lambda function.","Type":"ExcelNameText","ContentType":"ExcelLambda","Location":"ALOOKUP"},{"Name":"ArrayDistances.lambda","Description":"Definition of ArrayDistances lambda function.","Type":"ExcelNameText","ContentType":"ExcelFormula","Location":"ArrayDistances"},{"Name":"ARROWSHIFT.lambda","Description":"Definition of ARROWSHIFT lambda function.","Type":"ExcelNameText","ContentType":"ExcelLambda","Location":"ARROWSHIFT"},{"Name":"Base_Speed__km_h.name","Description":"Definition of Base_Speed__km_h.","Type":"ExcelNameText","ContentType":"ExcelFormula","Location":"Base_Speed__km_h"},{"Name":"CountErrors.lambda","Description":"Definition of CountErrors lambda function.","Type":"ExcelNameText","ContentType":"ExcelLambda","Location":"CountErrors"},{"Name":"EZINDARR_byLiannaGerrish.lambda","Description":"Definition of EZINDARR_byLiannaGerrish lambda function.","Type":"ExcelNameText","ContentType":"ExcelFormula","Location":"EZINDARR_byLiannaGerrish"},{"Name":"EZINDIRECT_byLiannaGerrish.lambda","Description":"Definition of EZINDIRECT_byLiannaGerrish lambda function.","Type":"ExcelNameText","ContentType":"ExcelFormula","Location":"EZINDIRECT_byLiannaGerrish"},{"Name":"GetAddress.lambda","Description":"Definition of GetAddress lambda function.","Type":"ExcelNameText","ContentType":"ExcelLambda","Location":"GetAddress"},{"Name":"IsInList.lambda","Description":"Definition of IsInList lambda function.","Type":"ExcelNameText","ContentType":"ExcelLambda","Location":"IsInList"},{"Name":"Movement.lambda","Description":"Definition of Movement lambda function.","Type":"ExcelNameText","ContentType":"ExcelFormula","Location":"Movement"},{"Name":"NotInList.lambda","Description":"Definition of NotInList lambda function.","Type":"ExcelNameText","ContentType":"ExcelLambda","Location":"NotInList"},{"Name":"PackWeight.lambda","Description":"Definition of PackWeight lambda function.","Type":"ExcelNameText","ContentType":"ExcelFormula","Location":"PackWeight"},{"Name":"PackWeightMult.lambda","Description":"Definition of PackWeightMult lambda function.","Type":"ExcelNameText","ContentType":"ExcelFormula","Location":"PackWeightMult"},{"Name":"TerrainBaseSpeed.lambda","Description":"Definition of TerrainBaseSpeed lambda function.","Type":"ExcelNameText","ContentType":"ExcelFormula","Location":"TerrainBaseSpeed"},{"Name":"TerrMap.name","Description":"Definition of TerrMap.","Type":"ExcelNameText","ContentType":"ExcelLambda","Location":"TerrMap"},{"Name":"TopoMap.name","Description":"Definition of TopoMap.","Type":"ExcelNameText","ContentType":"ExcelLambda","Location":"TopoMap"}]}
]]></JSON>
</file>

<file path=customXml/item21.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AddressLookup.lambda</ItemName>
    <ItemDescription/>
    <ItemType>Text</ItemType>
    <ItemSubtype/>
    <LastUpdated>2026-09-16T18:01:22.2570928+00:00</LastUpdated>
    <CustomXmlPartGuid>{D54C3AD4-A1AD-40B9-B41F-060F72C66E9C}</CustomXmlPartGuid>
  </CustomXmlPartIndex>
  <CustomXmlPartIndex>
    <CollectionName>HotkeyCommands</CollectionName>
    <ItemName>ALOOKUP.lambda</ItemName>
    <ItemDescription/>
    <ItemType>Text</ItemType>
    <ItemSubtype/>
    <LastUpdated>2026-09-16T18:01:22.2580935+00:00</LastUpdated>
    <CustomXmlPartGuid>{971697BC-2EA6-4953-B7F4-3985F88A76E0}</CustomXmlPartGuid>
  </CustomXmlPartIndex>
  <CustomXmlPartIndex>
    <CollectionName>HotkeyCommands</CollectionName>
    <ItemName>ArrayDistances.lambda</ItemName>
    <ItemDescription/>
    <ItemType>Text</ItemType>
    <ItemSubtype/>
    <LastUpdated>2026-09-16T18:01:22.2580935+00:00</LastUpdated>
    <CustomXmlPartGuid>{F613F9C3-4AAC-4078-9E3B-AB7F9F54CF50}</CustomXmlPartGuid>
  </CustomXmlPartIndex>
  <CustomXmlPartIndex>
    <CollectionName>HotkeyCommands</CollectionName>
    <ItemName>ARROWSHIFT.lambda</ItemName>
    <ItemDescription/>
    <ItemType>Text</ItemType>
    <ItemSubtype/>
    <LastUpdated>2026-09-16T18:01:22.2590946+00:00</LastUpdated>
    <CustomXmlPartGuid>{0E8E2255-36DB-4D75-BC05-196095EAB46C}</CustomXmlPartGuid>
  </CustomXmlPartIndex>
  <CustomXmlPartIndex>
    <CollectionName>HotkeyCommands</CollectionName>
    <ItemName>Base_Speed__km_h.name</ItemName>
    <ItemDescription/>
    <ItemType>Text</ItemType>
    <ItemSubtype/>
    <LastUpdated>2026-09-16T18:01:22.2600956+00:00</LastUpdated>
    <CustomXmlPartGuid>{0F298835-3D06-4E1A-A5B8-E2D850D58991}</CustomXmlPartGuid>
  </CustomXmlPartIndex>
  <CustomXmlPartIndex>
    <CollectionName>HotkeyCommands</CollectionName>
    <ItemName>CountErrors.lambda</ItemName>
    <ItemDescription/>
    <ItemType>Text</ItemType>
    <ItemSubtype/>
    <LastUpdated>2026-09-16T18:01:22.2600956+00:00</LastUpdated>
    <CustomXmlPartGuid>{3937D092-C9DC-4C1B-9920-8C128841BF4A}</CustomXmlPartGuid>
  </CustomXmlPartIndex>
  <CustomXmlPartIndex>
    <CollectionName>HotkeyCommands</CollectionName>
    <ItemName>EZINDARR_byLiannaGerrish.lambda</ItemName>
    <ItemDescription/>
    <ItemType>Text</ItemType>
    <ItemSubtype/>
    <LastUpdated>2026-09-16T18:01:22.2610964+00:00</LastUpdated>
    <CustomXmlPartGuid>{3C3836E7-D3DF-48BB-9E06-51216D34643A}</CustomXmlPartGuid>
  </CustomXmlPartIndex>
  <CustomXmlPartIndex>
    <CollectionName>HotkeyCommands</CollectionName>
    <ItemName>EZINDIRECT_byLiannaGerrish.lambda</ItemName>
    <ItemDescription/>
    <ItemType>Text</ItemType>
    <ItemSubtype/>
    <LastUpdated>2026-09-16T18:01:22.2620973+00:00</LastUpdated>
    <CustomXmlPartGuid>{1123E757-8BD6-4B74-84B9-1F60576F8170}</CustomXmlPartGuid>
  </CustomXmlPartIndex>
  <CustomXmlPartIndex>
    <CollectionName>HotkeyCommands</CollectionName>
    <ItemName>GetAddress.lambda</ItemName>
    <ItemDescription/>
    <ItemType>Text</ItemType>
    <ItemSubtype/>
    <LastUpdated>2026-09-16T18:01:22.2630982+00:00</LastUpdated>
    <CustomXmlPartGuid>{AF221B86-DDF6-4E63-B60C-10829504D5BA}</CustomXmlPartGuid>
  </CustomXmlPartIndex>
  <CustomXmlPartIndex>
    <CollectionName>HotkeyCommands</CollectionName>
    <ItemName>IsInList.lambda</ItemName>
    <ItemDescription/>
    <ItemType>Text</ItemType>
    <ItemSubtype/>
    <LastUpdated>2026-09-16T18:01:22.2640991+00:00</LastUpdated>
    <CustomXmlPartGuid>{2372D939-AB50-4C81-AD56-A49BC1D4AC16}</CustomXmlPartGuid>
  </CustomXmlPartIndex>
  <CustomXmlPartIndex>
    <CollectionName>HotkeyCommands</CollectionName>
    <ItemName>Movement.lambda</ItemName>
    <ItemDescription/>
    <ItemType>Text</ItemType>
    <ItemSubtype/>
    <LastUpdated>2026-09-16T18:01:22.2651000+00:00</LastUpdated>
    <CustomXmlPartGuid>{81F5207C-54DB-4AC5-A618-AEDE278833B4}</CustomXmlPartGuid>
  </CustomXmlPartIndex>
  <CustomXmlPartIndex>
    <CollectionName>HotkeyCommands</CollectionName>
    <ItemName>NotInList.lambda</ItemName>
    <ItemDescription/>
    <ItemType>Text</ItemType>
    <ItemSubtype/>
    <LastUpdated>2026-09-16T18:01:22.2661009+00:00</LastUpdated>
    <CustomXmlPartGuid>{48980829-397D-4EB6-A272-8E426523DEA7}</CustomXmlPartGuid>
  </CustomXmlPartIndex>
  <CustomXmlPartIndex>
    <CollectionName>HotkeyCommands</CollectionName>
    <ItemName>PackWeight.lambda</ItemName>
    <ItemDescription/>
    <ItemType>Text</ItemType>
    <ItemSubtype/>
    <LastUpdated>2026-09-16T18:01:22.2671017+00:00</LastUpdated>
    <CustomXmlPartGuid>{16FAD31F-DB36-413D-8183-D9E7B023ACE6}</CustomXmlPartGuid>
  </CustomXmlPartIndex>
  <CustomXmlPartIndex>
    <CollectionName>HotkeyCommands</CollectionName>
    <ItemName>PackWeightMult.lambda</ItemName>
    <ItemDescription/>
    <ItemType>Text</ItemType>
    <ItemSubtype/>
    <LastUpdated>2026-09-16T18:01:22.2681027+00:00</LastUpdated>
    <CustomXmlPartGuid>{ADD8BE99-8625-47A7-8B0E-99FE0E6D55E9}</CustomXmlPartGuid>
  </CustomXmlPartIndex>
  <CustomXmlPartIndex>
    <CollectionName>HotkeyCommands</CollectionName>
    <ItemName>TerrainBaseSpeed.lambda</ItemName>
    <ItemDescription/>
    <ItemType>Text</ItemType>
    <ItemSubtype/>
    <LastUpdated>2026-09-16T18:01:22.2691037+00:00</LastUpdated>
    <CustomXmlPartGuid>{27716122-9116-4EE4-B809-64E157B62433}</CustomXmlPartGuid>
  </CustomXmlPartIndex>
  <CustomXmlPartIndex>
    <CollectionName>HotkeyCommands</CollectionName>
    <ItemName>TerrMap.name</ItemName>
    <ItemDescription/>
    <ItemType>Text</ItemType>
    <ItemSubtype/>
    <LastUpdated>2026-09-16T18:01:22.2701046+00:00</LastUpdated>
    <CustomXmlPartGuid>{DE9D7530-7A06-4ACA-84FB-9E702F8423B6}</CustomXmlPartGuid>
  </CustomXmlPartIndex>
  <CustomXmlPartIndex>
    <CollectionName>HotkeyCommands</CollectionName>
    <ItemName>TopoMap.name</ItemName>
    <ItemDescription/>
    <ItemType>Text</ItemType>
    <ItemSubtype/>
    <LastUpdated>2026-09-16T18:01:22.2711054+00:00</LastUpdated>
    <CustomXmlPartGuid>{07C63709-C97F-4F91-B039-8E670B176A65}</CustomXmlPartGuid>
  </CustomXmlPartIndex>
  <CustomXmlPartIndex>
    <CollectionName>HotkeyCommands</CollectionName>
    <ItemName>HotkeyCommands</ItemName>
    <ItemDescription/>
    <ItemType>JSON</ItemType>
    <LastUpdated>2026-09-17T15:39:38.9096367+00:00</LastUpdated>
    <CustomXmlPartGuid>{4F26EE92-B746-438E-9603-A90230D580F9}</CustomXmlPartGuid>
  </CustomXmlPartIndex>
</writeIndexDataTable>
</file>

<file path=customXml/itemProps1.xml><?xml version="1.0" encoding="utf-8"?>
<ds:datastoreItem xmlns:ds="http://schemas.openxmlformats.org/officeDocument/2006/customXml" ds:itemID="{1123E757-8BD6-4B74-84B9-1F60576F8170}">
  <ds:schemaRefs/>
</ds:datastoreItem>
</file>

<file path=customXml/itemProps2.xml><?xml version="1.0" encoding="utf-8"?>
<ds:datastoreItem xmlns:ds="http://schemas.openxmlformats.org/officeDocument/2006/customXml" ds:itemID="{2372D939-AB50-4C81-AD56-A49BC1D4AC16}">
  <ds:schemaRefs/>
</ds:datastoreItem>
</file>

<file path=customXml/itemProps3.xml><?xml version="1.0" encoding="utf-8"?>
<ds:datastoreItem xmlns:ds="http://schemas.openxmlformats.org/officeDocument/2006/customXml" ds:itemID="{16FAD31F-DB36-413D-8183-D9E7B023ACE6}">
  <ds:schemaRefs/>
</ds:datastoreItem>
</file>

<file path=customXml/itemProps4.xml><?xml version="1.0" encoding="utf-8"?>
<ds:datastoreItem xmlns:ds="http://schemas.openxmlformats.org/officeDocument/2006/customXml" ds:itemID="{971697BC-2EA6-4953-B7F4-3985F88A76E0}">
  <ds:schemaRefs/>
</ds:datastoreItem>
</file>

<file path=customXml/itemProps5.xml><?xml version="1.0" encoding="utf-8"?>
<ds:datastoreItem xmlns:ds="http://schemas.openxmlformats.org/officeDocument/2006/customXml" ds:itemID="{E9D0BF7C-8B76-4559-A433-DA1F7139C55F}">
  <ds:schemaRefs>
    <ds:schemaRef ds:uri="http://schemas.microsoft.com/DataMashup"/>
  </ds:schemaRefs>
</ds:datastoreItem>
</file>

<file path=customXml/itemProps6.xml><?xml version="1.0" encoding="utf-8"?>
<ds:datastoreItem xmlns:ds="http://schemas.openxmlformats.org/officeDocument/2006/customXml" ds:itemID="{63FDA984-DCE2-400E-A840-C51334F7CEC1}">
  <ds:schemaRefs>
    <ds:schemaRef ds:uri="http://schemas.advancedformulaenvironment.officeapps.live.com/afejsonblob/1.0"/>
  </ds:schemaRefs>
</ds:datastoreItem>
</file>

<file path=customXml/itemProps7.xml><?xml version="1.0" encoding="utf-8"?>
<ds:datastoreItem xmlns:ds="http://schemas.openxmlformats.org/officeDocument/2006/customXml" ds:itemID="{ADD8BE99-8625-47A7-8B0E-99FE0E6D55E9}">
  <ds:schemaRefs/>
</ds:datastoreItem>
</file>

<file path=customXml/itemProps8.xml><?xml version="1.0" encoding="utf-8"?>
<ds:datastoreItem xmlns:ds="http://schemas.openxmlformats.org/officeDocument/2006/customXml" ds:itemID="{07C63709-C97F-4F91-B039-8E670B176A65}">
  <ds:schemaRefs/>
</ds:datastoreItem>
</file>

<file path=customXml/itemProps9.xml><?xml version="1.0" encoding="utf-8"?>
<ds:datastoreItem xmlns:ds="http://schemas.openxmlformats.org/officeDocument/2006/customXml" ds:itemID="{DE9D7530-7A06-4ACA-84FB-9E702F8423B6}">
  <ds:schemaRefs/>
</ds:datastoreItem>
</file>

<file path=customXml/itemProps10.xml><?xml version="1.0" encoding="utf-8"?>
<ds:datastoreItem xmlns:ds="http://schemas.openxmlformats.org/officeDocument/2006/customXml" ds:itemID="{AF221B86-DDF6-4E63-B60C-10829504D5BA}">
  <ds:schemaRefs/>
</ds:datastoreItem>
</file>

<file path=customXml/itemProps11.xml><?xml version="1.0" encoding="utf-8"?>
<ds:datastoreItem xmlns:ds="http://schemas.openxmlformats.org/officeDocument/2006/customXml" ds:itemID="{0F298835-3D06-4E1A-A5B8-E2D850D58991}">
  <ds:schemaRefs/>
</ds:datastoreItem>
</file>

<file path=customXml/itemProps12.xml><?xml version="1.0" encoding="utf-8"?>
<ds:datastoreItem xmlns:ds="http://schemas.openxmlformats.org/officeDocument/2006/customXml" ds:itemID="{27716122-9116-4EE4-B809-64E157B62433}">
  <ds:schemaRefs/>
</ds:datastoreItem>
</file>

<file path=customXml/itemProps13.xml><?xml version="1.0" encoding="utf-8"?>
<ds:datastoreItem xmlns:ds="http://schemas.openxmlformats.org/officeDocument/2006/customXml" ds:itemID="{48980829-397D-4EB6-A272-8E426523DEA7}">
  <ds:schemaRefs/>
</ds:datastoreItem>
</file>

<file path=customXml/itemProps14.xml><?xml version="1.0" encoding="utf-8"?>
<ds:datastoreItem xmlns:ds="http://schemas.openxmlformats.org/officeDocument/2006/customXml" ds:itemID="{81F5207C-54DB-4AC5-A618-AEDE278833B4}">
  <ds:schemaRefs/>
</ds:datastoreItem>
</file>

<file path=customXml/itemProps15.xml><?xml version="1.0" encoding="utf-8"?>
<ds:datastoreItem xmlns:ds="http://schemas.openxmlformats.org/officeDocument/2006/customXml" ds:itemID="{3C3836E7-D3DF-48BB-9E06-51216D34643A}">
  <ds:schemaRefs/>
</ds:datastoreItem>
</file>

<file path=customXml/itemProps16.xml><?xml version="1.0" encoding="utf-8"?>
<ds:datastoreItem xmlns:ds="http://schemas.openxmlformats.org/officeDocument/2006/customXml" ds:itemID="{3937D092-C9DC-4C1B-9920-8C128841BF4A}">
  <ds:schemaRefs/>
</ds:datastoreItem>
</file>

<file path=customXml/itemProps17.xml><?xml version="1.0" encoding="utf-8"?>
<ds:datastoreItem xmlns:ds="http://schemas.openxmlformats.org/officeDocument/2006/customXml" ds:itemID="{F613F9C3-4AAC-4078-9E3B-AB7F9F54CF50}">
  <ds:schemaRefs/>
</ds:datastoreItem>
</file>

<file path=customXml/itemProps18.xml><?xml version="1.0" encoding="utf-8"?>
<ds:datastoreItem xmlns:ds="http://schemas.openxmlformats.org/officeDocument/2006/customXml" ds:itemID="{0E8E2255-36DB-4D75-BC05-196095EAB46C}">
  <ds:schemaRefs/>
</ds:datastoreItem>
</file>

<file path=customXml/itemProps19.xml><?xml version="1.0" encoding="utf-8"?>
<ds:datastoreItem xmlns:ds="http://schemas.openxmlformats.org/officeDocument/2006/customXml" ds:itemID="{D54C3AD4-A1AD-40B9-B41F-060F72C66E9C}">
  <ds:schemaRefs/>
</ds:datastoreItem>
</file>

<file path=customXml/itemProps20.xml><?xml version="1.0" encoding="utf-8"?>
<ds:datastoreItem xmlns:ds="http://schemas.openxmlformats.org/officeDocument/2006/customXml" ds:itemID="{4F26EE92-B746-438E-9603-A90230D580F9}">
  <ds:schemaRefs/>
</ds:datastoreItem>
</file>

<file path=customXml/itemProps21.xml><?xml version="1.0" encoding="utf-8"?>
<ds:datastoreItem xmlns:ds="http://schemas.openxmlformats.org/officeDocument/2006/customXml" ds:itemID="{91AC9A35-DD67-406F-A2A6-05EF3B460DD9}">
  <ds:schemaRefs>
    <ds:schemaRef ds:uri=""/>
    <ds:schemaRef ds:uri="http://www.w3.org/2001/XMLSchema"/>
    <ds:schemaRef ds:uri="urn:schemas-microsoft-com:xml-ms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Info</vt:lpstr>
      <vt:lpstr>ActiveCases</vt:lpstr>
      <vt:lpstr>List</vt:lpstr>
      <vt:lpstr>A-Z</vt:lpstr>
      <vt:lpstr>Commands</vt:lpstr>
      <vt:lpstr>A</vt:lpstr>
      <vt:lpstr>B</vt:lpstr>
      <vt:lpstr>C</vt:lpstr>
      <vt:lpstr>Z</vt:lpstr>
      <vt:lpstr>CommandGroups</vt:lpstr>
      <vt:lpstr>Actual_used</vt:lpstr>
      <vt:lpstr>CumPack</vt:lpstr>
      <vt:lpstr>Random</vt:lpstr>
      <vt:lpstr>Select_Your_Access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2026-03-20T18:40:55Z</dcterms:created>
  <dcterms:modified xsi:type="dcterms:W3CDTF">2026-09-17T15:46:53Z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A Tools">
    <vt:lpwstr>{91AC9A35-DD67-406F-A2A6-05EF3B460DD9}</vt:lpwstr>
  </property>
  <property fmtid="{D5CDD505-2E9C-101B-9397-08002B2CF9AE}" pid="3" name="OA Tools Last Modified">
    <vt:lpwstr>2026-09-17 15:39:38 UTC</vt:lpwstr>
  </property>
  <property fmtid="{D5CDD505-2E9C-101B-9397-08002B2CF9AE}" pid="4" name="OA Tools Last Modified Precise">
    <vt:lpwstr>2026-09-17T15:39:38.9904852+00:00</vt:lpwstr>
  </property>
</Properties>
</file>