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Excel/Training/"/>
    </mc:Choice>
  </mc:AlternateContent>
  <xr:revisionPtr revIDLastSave="66" documentId="13_ncr:1_{6B4C51EB-5B9D-4E71-8D8F-F3B8BD4B9054}" xr6:coauthVersionLast="47" xr6:coauthVersionMax="47" xr10:uidLastSave="{900EB6E2-3F31-4219-A736-4BB7C7A1A3F5}"/>
  <bookViews>
    <workbookView xWindow="-120" yWindow="-120" windowWidth="51840" windowHeight="21120" activeTab="3" xr2:uid="{51E91FC2-F60B-4A22-949A-E0F6705C49F4}"/>
  </bookViews>
  <sheets>
    <sheet name="Info" sheetId="8" r:id="rId1"/>
    <sheet name="ActiveCases" sheetId="9" state="hidden" r:id="rId2"/>
    <sheet name="List" sheetId="7" r:id="rId3"/>
    <sheet name="A-Z" sheetId="2" r:id="rId4"/>
    <sheet name="Commands" sheetId="3" r:id="rId5"/>
    <sheet name="A" sheetId="4" r:id="rId6"/>
    <sheet name="B" sheetId="5" r:id="rId7"/>
    <sheet name="Z" sheetId="6" r:id="rId8"/>
  </sheets>
  <functionGroups builtInGroupCount="19"/>
  <externalReferences>
    <externalReference r:id="rId9"/>
  </externalReferences>
  <definedNames>
    <definedName name="_xlnm._FilterDatabase" localSheetId="2" hidden="1">List!#REF!</definedName>
    <definedName name="_xleta.COLUMNS" hidden="1" xlm="1">#NAME?</definedName>
    <definedName name="_xleta.FIND" hidden="1" xlm="1">#NAME?</definedName>
    <definedName name="_xleta.NA" hidden="1" xlm="1">#NAME?</definedName>
    <definedName name="_xleta.NOT" hidden="1" xlm="1">#NAME?</definedName>
    <definedName name="_xleta.SUM" hidden="1" xlm="1">#NAME?</definedName>
    <definedName name="_xleta.XLOOKUP" hidden="1" xlm="1">#NAME?</definedName>
    <definedName name="_xlop.exclude" hidden="1" xlm="1">#NAME?</definedName>
    <definedName name="_xlop.sheetname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_After" hidden="1" xlm="1">#NAME?</definedName>
    <definedName name="_xlpm._array" hidden="1" xlm="1">#NAME?</definedName>
    <definedName name="_xlpm._Before" hidden="1" xlm="1">#NAME?</definedName>
    <definedName name="_xlpm._Cells" hidden="1" xlm="1">#NAME?</definedName>
    <definedName name="_xlpm._Codes" hidden="1" xlm="1">#NAME?</definedName>
    <definedName name="_xlpm._Count" hidden="1" xlm="1">#NAME?</definedName>
    <definedName name="_xlpm._countif" hidden="1" xlm="1">#NAME?</definedName>
    <definedName name="_xlpm._Distance" hidden="1" xlm="1">#NAME?</definedName>
    <definedName name="_xlpm._filtered" hidden="1" xlm="1">#NAME?</definedName>
    <definedName name="_xlpm._GetAddresses" hidden="1" xlm="1">#NAME?</definedName>
    <definedName name="_xlpm._include" hidden="1" xlm="1">#NAME?</definedName>
    <definedName name="_xlpm._InRows" hidden="1" xlm="1">#NAME?</definedName>
    <definedName name="_xlpm._PackSumsTable" hidden="1" xlm="1">#NAME?</definedName>
    <definedName name="_xlpm._Result" hidden="1" xlm="1">#NAME?</definedName>
    <definedName name="_xlpm._rows" hidden="1" xlm="1">#NAME?</definedName>
    <definedName name="_xlpm._SpeedsSpeed" hidden="1" xlm="1">#NAME?</definedName>
    <definedName name="_xlpm._SpeedsT" hidden="1" xlm="1">#NAME?</definedName>
    <definedName name="_xlpm._SpeedsTa" hidden="1" xlm="1">#NAME?</definedName>
    <definedName name="_xlpm._SpeedsTab" hidden="1" xlm="1">#NAME?</definedName>
    <definedName name="_xlpm._SpeedsTabl" hidden="1" xlm="1">#NAME?</definedName>
    <definedName name="_xlpm._SpeedsTable" hidden="1" xlm="1">#NAME?</definedName>
    <definedName name="_xlpm._SpeedsTe" hidden="1" xlm="1">#NAME?</definedName>
    <definedName name="_xlpm._SpeedsTer" hidden="1" xlm="1">#NAME?</definedName>
    <definedName name="_xlpm._SpeedsTerr" hidden="1" xlm="1">#NAME?</definedName>
    <definedName name="_xlpm._Terrain" hidden="1" xlm="1">#NAME?</definedName>
    <definedName name="_xlpm._TerrSpeed" hidden="1" xlm="1">#NAME?</definedName>
    <definedName name="_xlpm._TimeAtBaseSpeed" hidden="1" xlm="1">#NAME?</definedName>
    <definedName name="_xlpm._TotalBaseTime" hidden="1" xlm="1">#NAME?</definedName>
    <definedName name="_xlpm._unique" hidden="1" xlm="1">#NAME?</definedName>
    <definedName name="_xlpm.a" hidden="1" xlm="1">#NAME?</definedName>
    <definedName name="_xlpm.accum" hidden="1" xlm="1">#NAME?</definedName>
    <definedName name="_xlpm.addarr" hidden="1" xlm="1">#NAME?</definedName>
    <definedName name="_xlpm.addr" hidden="1" xlm="1">#NAME?</definedName>
    <definedName name="_xlpm.addresses" hidden="1" xlm="1">#NAME?</definedName>
    <definedName name="_xlpm.adds" hidden="1" xlm="1">#NAME?</definedName>
    <definedName name="_xlpm.ar" hidden="1" xlm="1">#NAME?</definedName>
    <definedName name="_xlpm.arr" hidden="1" xlm="1">#NAME?</definedName>
    <definedName name="_xlpm.arra" hidden="1" xlm="1">#NAME?</definedName>
    <definedName name="_xlpm.array" hidden="1" xlm="1">#NAME?</definedName>
    <definedName name="_xlpm.arrow" hidden="1" xlm="1">#NAME?</definedName>
    <definedName name="_xlpm.Arrows" hidden="1" xlm="1">#NAME?</definedName>
    <definedName name="_xlpm.Arrowsx" hidden="1" xlm="1">#NAME?</definedName>
    <definedName name="_xlpm.Arrowsy" hidden="1" xlm="1">#NAME?</definedName>
    <definedName name="_xlpm.botcommandnames" hidden="1" xlm="1">#NAME?</definedName>
    <definedName name="_xlpm.botcommands" hidden="1" xlm="1">#NAME?</definedName>
    <definedName name="_xlpm.CardComment" hidden="1" xlm="1">#NAME?</definedName>
    <definedName name="_xlpm.CardInd" hidden="1" xlm="1">#NAME?</definedName>
    <definedName name="_xlpm.Cards" hidden="1" xlm="1">#NAME?</definedName>
    <definedName name="_xlpm.check" hidden="1" xlm="1">#NAME?</definedName>
    <definedName name="_xlpm.cnt" hidden="1" xlm="1">#NAME?</definedName>
    <definedName name="_xlpm.colheaders" hidden="1" xlm="1">#NAME?</definedName>
    <definedName name="_xlpm.collet" hidden="1" xlm="1">#NAME?</definedName>
    <definedName name="_xlpm.colls" hidden="1" xlm="1">#NAME?</definedName>
    <definedName name="_xlpm.column_indexes" hidden="1" xlm="1">#NAME?</definedName>
    <definedName name="_xlpm.commands" hidden="1" xlm="1">#NAME?</definedName>
    <definedName name="_xlpm.count" hidden="1" xlm="1">#NAME?</definedName>
    <definedName name="_xlpm.d" hidden="1" xlm="1">#NAME?</definedName>
    <definedName name="_xlpm.data" hidden="1" xlm="1">#NAME?</definedName>
    <definedName name="_xlpm.dataarea" hidden="1" xlm="1">#NAME?</definedName>
    <definedName name="_xlpm.exclude" hidden="1" xlm="1">#NAME?</definedName>
    <definedName name="_xlpm.filter_values" hidden="1" xlm="1">#NAME?</definedName>
    <definedName name="_xlpm.find" hidden="1" xlm="1">#NAME?</definedName>
    <definedName name="_xlpm.full" hidden="1" xlm="1">#NAME?</definedName>
    <definedName name="_xlpm.fullrange" hidden="1" xlm="1">#NAME?</definedName>
    <definedName name="_xlpm.function" hidden="1" xlm="1">#NAME?</definedName>
    <definedName name="_xlpm.games" hidden="1" xlm="1">#NAME?</definedName>
    <definedName name="_xlpm.input_array" hidden="1" xlm="1">#NAME?</definedName>
    <definedName name="_xlpm.list" hidden="1" xlm="1">#NAME?</definedName>
    <definedName name="_xlpm.LookupRange" hidden="1" xlm="1">#NAME?</definedName>
    <definedName name="_xlpm.LookupValue" hidden="1" xlm="1">#NAME?</definedName>
    <definedName name="_xlpm.m" hidden="1" xlm="1">#NAME?</definedName>
    <definedName name="_xlpm.name" hidden="1" xlm="1">#NAME?</definedName>
    <definedName name="_xlpm.new" hidden="1" xlm="1">#NAME?</definedName>
    <definedName name="_xlpm.newcell" hidden="1" xlm="1">#NAME?</definedName>
    <definedName name="_xlpm.out" hidden="1" xlm="1">#NAME?</definedName>
    <definedName name="_xlpm.pack_weight" hidden="1" xlm="1">#NAME?</definedName>
    <definedName name="_xlpm.r" hidden="1" xlm="1">#NAME?</definedName>
    <definedName name="_xlpm.ra" hidden="1" xlm="1">#NAME?</definedName>
    <definedName name="_xlpm.ran" hidden="1" xlm="1">#NAME?</definedName>
    <definedName name="_xlpm.random" hidden="1" xlm="1">#NAME?</definedName>
    <definedName name="_xlpm.rang" hidden="1" xlm="1">#NAME?</definedName>
    <definedName name="_xlpm.range" hidden="1" xlm="1">#NAME?</definedName>
    <definedName name="_xlpm.Result" hidden="1" xlm="1">#NAME?</definedName>
    <definedName name="_xlpm.rng" hidden="1" xlm="1">#NAME?</definedName>
    <definedName name="_xlpm.row" hidden="1" xlm="1">#NAME?</definedName>
    <definedName name="_xlpm.rowheaders" hidden="1" xlm="1">#NAME?</definedName>
    <definedName name="_xlpm.sheetname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TerrainArray" hidden="1" xlm="1">#NAME?</definedName>
    <definedName name="_xlpm.unqcasespecific" hidden="1" xlm="1">#NAME?</definedName>
    <definedName name="_xlpm.unqcollection" hidden="1" xlm="1">#NAME?</definedName>
    <definedName name="_xlpm.unqcommandnames" hidden="1" xlm="1">#NAME?</definedName>
    <definedName name="_xlpm.unqcommands" hidden="1" xlm="1">#NAME?</definedName>
    <definedName name="_xlpm.unqcount" hidden="1" xlm="1">#NAME?</definedName>
    <definedName name="_xlpm.unqcounts" hidden="1" xlm="1">#NAME?</definedName>
    <definedName name="_xlpm.unqdesc" hidden="1" xlm="1">#NAME?</definedName>
    <definedName name="_xlpm.unqout" hidden="1" xlm="1">#NAME?</definedName>
    <definedName name="_xlpm.unqshortcut" hidden="1" xlm="1">#NAME?</definedName>
    <definedName name="_xlpm.v" hidden="1" xlm="1">#NAME?</definedName>
    <definedName name="_xlpm.va" hidden="1" xlm="1">#NAME?</definedName>
    <definedName name="_xlpm.val" hidden="1" xlm="1">#NAME?</definedName>
    <definedName name="_xlpm.vals" hidden="1" xlm="1">#NAME?</definedName>
    <definedName name="_xlpm.valu" hidden="1" xlm="1">#NAME?</definedName>
    <definedName name="_xlpm.value" hidden="1" xlm="1">#NAME?</definedName>
    <definedName name="_xlpm.values" hidden="1" xlm="1">#NAME?</definedName>
    <definedName name="_xlpm.x" hidden="1" xlm="1">#NAME?</definedName>
    <definedName name="_xlpm.xmove" hidden="1" xlm="1">#NAME?</definedName>
    <definedName name="_xlpm.xmoveunit" hidden="1" xlm="1">#NAME?</definedName>
    <definedName name="_xlpm.y" hidden="1" xlm="1">#NAME?</definedName>
    <definedName name="_xlpm.ymove" hidden="1" xlm="1">#NAME?</definedName>
    <definedName name="_xlpm.ymoveunit" hidden="1" xlm="1">#NAME?</definedName>
    <definedName name="Actual_used">'A-Z'!$E$3</definedName>
    <definedName name="AddressLookup" comment="Looks up an address from a range with columns in row 1 and rows in column 1.  ">_xlfn.LAMBDA(_xlpm.addr,_xlpm.fullrange, _xlfn.LET(
   _xlpm.\\LambdaName, "AddressLookup",
   _xlpm.\\CommandName, "Address Lookup",
   _xlpm.\\Description, "Looks up an address from a range with columns in row 1 and rows in column 1",
   _xlpm.colheaders, _xlfn.DROP(_xlfn.TAKE(_xlpm.fullrange, 1), , 1),
   _xlpm.rowheaders, _xlfn.DROP(_xlfn.TAKE(_xlpm.fullrange, , 1), 1),
   _xlpm.dataarea, _xlfn.DROP(_xlpm.fullrange, 1, 1),
   _xlpm.addresses, _xlfn.TOCOL(_xlpm.colheaders &amp; _xlpm.rowheaders),
   _xlpm.values, _xlfn.TOCOL(_xlpm.dataarea),
   _xlfn.XLOOKUP(_xlpm.addr, _xlpm.addresses, _xlpm.values)
))</definedName>
    <definedName name="ALOOKUP">_xlfn.LAMBDA(_xlpm.LookupValue,_xlpm.LookupRange, _xlfn.LET(
   _xlpm._GetAddresses, GetAddress((_xlpm.LookupRange)),
   _xlpm._Result, _xlfn._xlws.FILTER(_xlfn.TOCOL(_xlpm._GetAddresses), _xlfn.TOCOL(_xlpm.LookupRange) = _xlpm.LookupValue),
   _xlpm._Result
))</definedName>
    <definedName name="ArrayDistances">_xlfn.LAMBDA(_xlpm.TerrainArray, _xlfn.LET(
   _xlpm.\\LambdaName, "ArrayDistances",
   _xlpm._Cells, _xlfn.CHOOSECOLS(_xlpm.TerrainArray, 2),
   _xlpm._Result, _xlpm._Cells / 2,
   _xlpm._Result
))</definedName>
    <definedName name="ARROWSHIFT" xml:space="preserve"> _xlfn.LAMBDA(_xlpm.starting_cell,_xlpm.arrow, _xlfn.LET(
   _xlpm.Arrows, _xlfn.VSTACK("↗", "↓", "↖", "←", "→", "↙", "↘", "↑"),
   _xlpm.Cards, _xlfn.VSTACK("NE", "S", "NW", "W", "E", "SW", "SE", "N"),
   _xlpm.Arrowsx, _xlfn.VSTACK(1, 0, -1, -1, 1, -1, 1, 0),
   _xlpm.Arrowsy, _xlfn.VSTACK(-1, 1, -1, 0, 0, 1, 1, -1),
   _xlpm.CardInd, ISERROR(_xlfn.XMATCH(RIGHT(_xlpm.arrow), _xlpm.Arrows, 0)),
   _xlpm.CardComment, "Multiplier Can Only Be Used On Arrows",
   _xlpm.d, IF(_xlpm.CardInd, _xlpm.arrow, RIGHT(_xlpm.arrow, 1)),
   _xlpm.m, IF((LEN(_xlpm.arrow) = 1) + _xlpm.CardInd, 1, 1 * LEFT(_xlpm.arrow, LEN(_xlpm.arrow) - 1)),
   _xlpm.xmoveunit, _xlfn.XLOOKUP(_xlpm.d, IF(_xlpm.CardInd, _xlpm.Cards, _xlpm.Arrows), _xlpm.Arrowsx),
   _xlpm.ymoveunit, _xlfn.XLOOKUP(_xlpm.d, IF(_xlpm.CardInd, _xlpm.Cards, _xlpm.Arrows), _xlpm.Arrowsy),
   _xlpm.xmove, _xlpm.xmoveunit * _xlpm.m,
   _xlpm.ymove, _xlpm.ymoveunit * _xlpm.m,
   _xlpm.collet, _xlfn.TAKE(_xlfn.TEXTSPLIT(_xlpm.starting_cell, _xlfn.SEQUENCE(, 10, 0)), , 1),
   _xlpm.startcol, COLUMN(INDIRECT(_xlpm.collet &amp; 1)),
   _xlpm.startrow, 1 * RIGHT(_xlpm.starting_cell, LEN(_xlpm.starting_cell) - LEN(_xlpm.collet)),
   _xlpm.newcell, ADDRESS(_xlpm.startrow + _xlpm.ymove, _xlpm.startcol + _xlpm.xmove, 4),
   _xlpm.newcell
))</definedName>
    <definedName name="BiRow_byPeterBartholomew" comment="BiRow function as defined by Peter Bartholomew" localSheetId="1">_xlfn.LAMBDA(_xlpm.array,_xlpm.function,_xlfn.LET(_xlpm.\\LambdaName, "BiRow_byPeterBartholomew", _xlpm.\\CommandName, "Perform array function by row", _xlpm.\\Description, "attributed to Peter Bartholomew: https://techcommunity.microsoft.com/discussions/excelgeneral/recursive-lambda-implementation-of-excels-reduce-function-/3949754/replies/3952653#M207809", _xlpm._rows, ROWS(_xlpm.array), _xlpm.Result, IF(_xlpm._rows = 1, _xlpm.function(_xlpm.array), _xlfn.VSTACK(ActiveCases!BiRow_byPeterBartholomew(_xlfn.TAKE(_xlpm.array, ROWS(_xlpm.array) / 2), _xlpm.function), ActiveCases!BiRow_byPeterBartholomew(_xlfn.DROP(_xlpm.array, ROWS(_xlpm.array) / 2), _xlpm.function))), _xlpm.Result))</definedName>
    <definedName name="BiRow_byPeterBartholomew" comment="BiRow function as defined by Peter Bartholomew">_xlfn.LAMBDA(_xlpm.array,_xlpm.function,_xlfn.LET(_xlpm.\\LambdaName, "BiRow_byPeterBartholomew", _xlpm.\\CommandName, "Perform array function by row", _xlpm.\\Description, "attributed to Peter Bartholomew: https://techcommunity.microsoft.com/discussions/excelgeneral/recursive-lambda-implementation-of-excels-reduce-function-/3949754/replies/3952653#M207809", _xlpm._rows, ROWS(_xlpm.array), _xlpm.Result, IF(_xlpm._rows = 1, _xlpm.function(_xlpm.array), _xlfn.VSTACK(ActiveCases!BiRow_byPeterBartholomew(_xlfn.TAKE(_xlpm.array, ROWS(_xlpm.array) / 2), _xlpm.function), ActiveCases!BiRow_byPeterBartholomew(_xlfn.DROP(_xlpm.array, ROWS(_xlpm.array) / 2), _xlpm.function))), _xlpm.Result))</definedName>
    <definedName name="CountEachUniqueValue" comment="Returns counts of each unique value in array.  " localSheetId="1" xml:space="preserve"> _xlfn.LAMBDA(_xlpm.array,_xlop.exclude, _xlfn.LET(
   _xlpm.\\LambdaName, "CountUniqueValues",
   _xlpm.\\CommandName, "Count Unique Values",
   _xlpm.\\Description, "Returns counts of each unique value in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SUM(--(_xlpm.array = _xlpm.x)))),
   _xlpm.Result, _xlfn.SORTBY(_xlfn.HSTACK(_xlpm._filtered, _xlpm._countif), _xlpm._countif, -1),
   _xlpm.Result
))</definedName>
    <definedName name="CountEachUniqueValue" xml:space="preserve"> _xlfn.LAMBDA(_xlpm.array,_xlop.exclude, _xlfn.LET(
   _xlpm.\\LambdaName, "CountUniqueValues",
   _xlpm.\\CommandName, "Count Unique Values",
   _xlpm.\\Description, "Returns counts of each unique value in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SUM(--(_xlpm.array = _xlpm.x)))),
   _xlpm.Result, _xlfn.SORTBY(_xlfn.HSTACK(_xlpm._filtered, _xlpm._countif), _xlpm._countif, -1),
   _xlpm.Result
))</definedName>
    <definedName name="CountErrors" comment="Counts Errors in an array / range.  ">_xlfn.LAMBDA(_xlpm._array, _xlfn.LET(
   _xlpm.\\LambdaName, "CountErrors",
   _xlpm.\\CommandName, "Count Errors",
   _xlpm.\\Description, "Counts Errors in an array / range",
   SUM(IF(ISERROR(_xlpm._array), 1, 0))
))</definedName>
    <definedName name="CumPack">B!$O$2:$P$17</definedName>
    <definedName name="ExternalData_1" localSheetId="1" hidden="1">ActiveCases!$B$2:$F$180</definedName>
    <definedName name="ExternalData_2" localSheetId="2" hidden="1">List!$B$4:$G$182</definedName>
    <definedName name="EZINDARR_byLiannaGerrish" comment="Applies INDIRECT to array.  ">_xlfn.LAMBDA(_xlpm.addarr,_xlop.sheetname, _xlfn.LET(
   _xlpm.\\LambdaName, "EZINDARR_byLiannaGerrish",
   _xlpm.\\Description, "Applies INDIRECT to array",
   IFERROR(
      _xlfn.MAP(
         _xlpm.addarr,
         _xlfn.LAMBDA(_xlpm.a,
            IF(
               OR(_xlfn.ISOMITTED(_xlpm.sheetname), _xlpm.sheetname = ""),
               INDIRECT(_xlpm.a),
               INDIRECT("'" &amp; _xlpm.sheetname &amp; "'!" &amp; _xlpm.a)
            )
         )
      ),
      ""
   )
))</definedName>
    <definedName name="FilterArray" xml:space="preserve">     _xlfn.LAMBDA(_xlpm.data,_xlpm.column_indexes,_xlpm.filter_values,_xlfn.LET(
   _xlpm.\\LambdaName, "FilterArray",
_xlfn._xlws.FILTER(_xlpm.data,_xlfn.BYROW(IsInList(_xlfn.CHOOSECOLS(_xlpm.data,_xlpm.column_indexes),_xlpm.filter_values),_xlfn.LAMBDA(_xlpm.x,AND(_xlpm.x)))))
)</definedName>
    <definedName name="GetAddress" comment="Gets the address of the range referenced in the cell.  ">_xlfn.LAMBDA(_xlpm.rng, _xlfn.LET(
   _xlpm.\\LambdaName, "GetAddress",
   _xlpm.\\CommandName, "Get Address",
   _xlpm.\\Description, "Gets the address of the range referenced in the cell",
   ADDRESS(ROW(_xlpm.rng), COLUMN(_xlpm.rng), 4)
))</definedName>
    <definedName name="GetAddressesByLookup" comment="Gets addresses of cells with a given value.  ">_xlfn.LAMBDA(_xlpm.LookupValue,_xlpm.LookupRange, _xlfn.LET(
   _xlpm.\\LambdaName, "GetAddressesByLookup",
   _xlpm.\\Description, "Gets addresses of cells with a given value",
   _xlpm._GetAddresses, GetAddress((_xlpm.LookupRange)),
   _xlpm._Result, _xlfn._xlws.FILTER(_xlfn.TOCOL(_xlpm._GetAddresses), _xlfn.TOCOL(_xlpm.LookupRange) = _xlpm.LookupValue),
   _xlpm._Result
))</definedName>
    <definedName name="IsInList">_xlfn.LAMBDA(_xlpm.array,_xlpm.list,_xlfn.LET(_xlpm.\\LambdaName, "IsInList", _xlfn.MAP(_xlpm.array, _xlfn.LAMBDA(_xlpm.x, OR(_xlpm.list = _xlpm.x)))))</definedName>
    <definedName name="Letters" localSheetId="1">_xlfn.LAMBDA(_xlfn.LET(_xlpm.\\LambdaName, "Letters", _xlpm._Codes, CHAR(_xlfn.SEQUENCE(26) + 64), _xlpm._Codes))</definedName>
    <definedName name="Letters">_xlfn.LAMBDA(_xlfn.LET(_xlpm.\\LambdaName, "Letters", _xlpm._Codes, CHAR(_xlfn.SEQUENCE(26) + 64), _xlpm._Codes))</definedName>
    <definedName name="Movement">_xlfn.LAMBDA(_xlpm.input_array,_xlfn.LET(_xlpm._InRows, ROWS(_xlpm.input_array) &gt; 1, _xlpm._Count, IF(_xlpm._InRows, ROWS(_xlpm.input_array), COLUMNS(_xlpm.input_array)), _xlpm._After, _xlfn.DROP(_xlpm.input_array, IF(_xlpm._InRows, 1, 0), IF(_xlpm._InRows, 0, 1)), _xlpm._Before, _xlfn.TAKE(_xlpm.input_array, IF(_xlpm._InRows, _xlpm._Count - 1, 1), IF(_xlpm._InRows, 1, _xlpm._Count - 1)), _xlpm._Result, IF(_xlpm._After &gt; _xlpm._Before, "UP", IF(_xlpm._After &lt; _xlpm._Before, "DOWN", "SAME")), _xlpm._Result))</definedName>
    <definedName name="NotInList">_xlfn.LAMBDA(_xlpm.array,_xlpm.list,_xlfn.LET(_xlpm.\\LambdaName, "NotInList", _xlfn._xlws.FILTER(_xlpm.array, NOT(IsInList(_xlpm.array, _xlpm.list)))))</definedName>
    <definedName name="PackWeight">_xlfn.LAMBDA(_xlpm.TerrainArray, _xlfn.LET(
   _xlpm.\\LambdaName, "PackWeight",
   _xlpm._SpeedsTerr, Speeds[Terrain],
   _xlpm._SpeedsSpeed, Speeds[Speed],
   _xlpm._Terrain, TRIM(_xlfn.CHOOSECOLS(_xlpm.TerrainArray, 1)),
   _xlpm._Cells, _xlfn.CHOOSECOLS(_xlpm.TerrainArray, 2),
   _xlpm._Distance, _xlpm._Cells / 2,
   _xlpm._TerrSpeed, _xlfn.MAP(_xlpm._Terrain, _xlfn.LAMBDA(_xlpm.name, _xlfn.XLOOKUP(_xlpm.name, _xlpm._SpeedsTerr, _xlpm._SpeedsSpeed, , 0))),
   _xlpm._TimeAtBaseSpeed, _xlpm._Distance / _xlpm._TerrSpeed,
   _xlpm._PackSumsTable, CumPack,
   _xlpm._TotalBaseTime, SUM(_xlpm._TimeAtBaseSpeed),
   _xlpm._Result, VLOOKUP(_xlpm._TotalBaseTime, _xlpm._PackSumsTable, 2),
   _xlpm._Result
))</definedName>
    <definedName name="PackWeightMult">_xlfn.LAMBDA(_xlpm.pack_weight,_xlfn.LET(_xlpm.\\LambdaName, "PackWeightMult", 1 - (_xlpm.pack_weight / 10000)))</definedName>
    <definedName name="Random">'A-Z'!$C$3</definedName>
    <definedName name="Select_Your_Access">List!$C$2</definedName>
    <definedName name="TerrainBaseSpeed">_xlfn.LAMBDA(_xlpm.TerrainArray, _xlfn.LET(
   _xlpm.\\LambdaName, "TerrainBaseSpeed",
   _xlpm._SpeedsTerr, Speeds[Terrain],
   _xlpm._SpeedsSpeed, Speeds[Speed],
   _xlpm._Terrain, _xlfn.CHOOSECOLS(_xlpm.TerrainArray, 1),
   _xlpm._Result, _xlfn.MAP(_xlpm._Terrain, _xlfn.LAMBDA(_xlpm.name, _xlfn.XLOOKUP(_xlpm.name, _xlpm._SpeedsTerr, _xlpm._SpeedsSpeed, , 0))),
   _xlpm._Result
))</definedName>
    <definedName name="TerrMapWHdr">[1]TerrainMap!$A$2:$AY$36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5" l="1" a="1"/>
  <c r="L5" i="5" s="1"/>
  <c r="L5" i="2"/>
  <c r="K5" i="2" l="1"/>
  <c r="N29" i="2" l="1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5" i="2"/>
  <c r="N4" i="2"/>
  <c r="N6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O5" i="2"/>
  <c r="Q4" i="2"/>
  <c r="P4" i="2"/>
  <c r="O4" i="2"/>
  <c r="P5" i="2"/>
  <c r="B5" i="6" l="1" a="1"/>
  <c r="B5" i="6" s="1"/>
  <c r="B5" i="5" l="1" a="1"/>
  <c r="B5" i="4" l="1" a="1"/>
  <c r="I5" i="2"/>
  <c r="L4" i="2"/>
  <c r="K4" i="2"/>
  <c r="I4" i="2"/>
  <c r="H4" i="2"/>
  <c r="F4" i="2" a="1"/>
  <c r="B4" i="2" a="1"/>
  <c r="B5" i="5" l="1"/>
  <c r="B5" i="4"/>
  <c r="F4" i="2"/>
  <c r="F2" i="2" s="1"/>
  <c r="B4" i="2"/>
  <c r="C4" i="2" l="1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5" i="3" a="1"/>
  <c r="C5" i="3" s="1"/>
  <c r="D4" i="2" l="1" a="1"/>
  <c r="D4" i="2" s="1"/>
  <c r="D2" i="2" s="1"/>
  <c r="B5" i="3" l="1" a="1"/>
  <c r="B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tc={8FF22592-6C8A-4AE0-A2D5-3E3A95DBF971}</author>
  </authors>
  <commentList>
    <comment ref="E3" authorId="0" shapeId="0" xr:uid="{8FF22592-6C8A-4AE0-A2D5-3E3A95DBF971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 the values below to use this for your own cases!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tc={40B7A229-4663-4639-9C98-306FA3F2BD0E}</author>
  </authors>
  <commentList>
    <comment ref="G4" authorId="0" shapeId="0" xr:uid="{40B7A229-4663-4639-9C98-306FA3F2BD0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the case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tc={AC02A232-9335-4123-8357-BC54946A92D0}</author>
  </authors>
  <commentList>
    <comment ref="H4" authorId="0" shapeId="0" xr:uid="{AC02A232-9335-4123-8357-BC54946A92D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this case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tc={8F9B88FA-CD3E-4C2F-B435-DF0B4BC5F724}</author>
  </authors>
  <commentList>
    <comment ref="H4" authorId="0" shapeId="0" xr:uid="{8F9B88FA-CD3E-4C2F-B435-DF0B4BC5F72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this case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tc={9113FCB4-D163-41A3-A3A2-EC33483F7A43}</author>
  </authors>
  <commentList>
    <comment ref="I4" authorId="0" shapeId="0" xr:uid="{9113FCB4-D163-41A3-A3A2-EC33483F7A4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this case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DD837-0F80-40EF-B27D-2DA6638C79AE}" keepAlive="1" name="Query - ActiveCases" description="Connection to the 'ActiveCases' query in the workbook." type="5" refreshedVersion="8" background="1" saveData="1">
    <dbPr connection="Provider=Microsoft.Mashup.OleDb.1;Data Source=$Workbook$;Location=ActiveCases;Extended Properties=&quot;&quot;" command="SELECT * FROM [ActiveCases]"/>
  </connection>
  <connection id="2" xr16:uid="{F8767D4E-5E8C-43E1-A180-AEE9F72BDE4A}" keepAlive="1" name="Query - CaseList" description="Connection to the 'CaseList' query in the workbook." type="5" refreshedVersion="8" background="1" saveData="1">
    <dbPr connection="Provider=Microsoft.Mashup.OleDb.1;Data Source=$Workbook$;Location=CaseList;Extended Properties=&quot;&quot;" command="SELECT * FROM [CaseList]"/>
  </connection>
  <connection id="3" xr16:uid="{0B6671C5-1C09-4744-9D2B-3A0CAA626F21}" keepAlive="1" name="Query - JaqCases" description="Connection to the 'JaqCases' query in the workbook." type="5" refreshedVersion="0" background="1">
    <dbPr connection="Provider=Microsoft.Mashup.OleDb.1;Data Source=$Workbook$;Location=JaqCases;Extended Properties=&quot;&quot;" command="SELECT * FROM [JaqCases]"/>
  </connection>
  <connection id="4" xr16:uid="{0C5D5D9F-659E-47B0-B97C-97D0CD9605A7}" keepAlive="1" name="Query - mapAccess" description="Connection to the 'mapAccess' query in the workbook." type="5" refreshedVersion="0" background="1">
    <dbPr connection="Provider=Microsoft.Mashup.OleDb.1;Data Source=$Workbook$;Location=mapAccess;Extended Properties=&quot;&quot;" command="SELECT * FROM [mapAccess]"/>
  </connection>
  <connection id="5" xr16:uid="{61D0428B-4E81-429B-A9B8-768E873C0B05}" keepAlive="1" name="Query - mapDifficulty" description="Connection to the 'mapDifficulty' query in the workbook." type="5" refreshedVersion="0" background="1">
    <dbPr connection="Provider=Microsoft.Mashup.OleDb.1;Data Source=$Workbook$;Location=mapDifficulty;Extended Properties=&quot;&quot;" command="SELECT * FROM [mapDifficulty]"/>
  </connection>
  <connection id="6" xr16:uid="{54D91261-F486-4E85-AD71-82AEDF364000}" keepAlive="1" name="Query - Select_Your_Access" description="Connection to the 'Select_Your_Access' query in the workbook." type="5" refreshedVersion="0" background="1">
    <dbPr connection="Provider=Microsoft.Mashup.OleDb.1;Data Source=$Workbook$;Location=Select_Your_Access;Extended Properties=&quot;&quot;" command="SELECT * FROM [Select_Your_Acces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<sst xmlns="http://schemas.openxmlformats.org/spreadsheetml/2006/main" count="2705" uniqueCount="739">
  <si>
    <t>Pts per min</t>
  </si>
  <si>
    <t>Random</t>
  </si>
  <si>
    <t>Difficulty</t>
  </si>
  <si>
    <t>Actual used</t>
  </si>
  <si>
    <t>30m Score</t>
  </si>
  <si>
    <t>30m Time</t>
  </si>
  <si>
    <t>Full Score Time (m)</t>
  </si>
  <si>
    <t>OA Robot
Commands</t>
  </si>
  <si>
    <t>OA Robot
InstaSolve</t>
  </si>
  <si>
    <t>Points</t>
  </si>
  <si>
    <t>American Bingo!</t>
  </si>
  <si>
    <t>Bushland Adventures</t>
  </si>
  <si>
    <t>Command Leaderboard</t>
  </si>
  <si>
    <t>No</t>
  </si>
  <si>
    <t>Command Name</t>
  </si>
  <si>
    <t>Shortcut / Code</t>
  </si>
  <si>
    <t>Command Collection</t>
  </si>
  <si>
    <t>Description</t>
  </si>
  <si>
    <t>Case Specific</t>
  </si>
  <si>
    <t>Uses</t>
  </si>
  <si>
    <t>Order</t>
  </si>
  <si>
    <t>Command</t>
  </si>
  <si>
    <t>Parameters</t>
  </si>
  <si>
    <t>A - Name Ranges: American Bingo</t>
  </si>
  <si>
    <t>NRA</t>
  </si>
  <si>
    <t>A-ZTraining</t>
  </si>
  <si>
    <t>Sets up named ranges explicitly for this file</t>
  </si>
  <si>
    <t>Create Calc Sheet</t>
  </si>
  <si>
    <t>CCS</t>
  </si>
  <si>
    <t>Creates a blank Calculation sheet for calculations</t>
  </si>
  <si>
    <t>A - Link to range Game</t>
  </si>
  <si>
    <t>links to Game named range</t>
  </si>
  <si>
    <t>Remove Blank Rows and Columns</t>
  </si>
  <si>
    <t>RB</t>
  </si>
  <si>
    <t>Array Robot</t>
  </si>
  <si>
    <t>Removes the rows and columns that are blank or all zeroes</t>
  </si>
  <si>
    <t>Create Data Table from Array</t>
  </si>
  <si>
    <t>DTA</t>
  </si>
  <si>
    <t>Creates a data table to the right of the selected array - assumes array has a header and first column is lookup</t>
  </si>
  <si>
    <t>Move Right 1</t>
  </si>
  <si>
    <t>Navigation only - moves a cell to the right</t>
  </si>
  <si>
    <t>Get Array 2 Up</t>
  </si>
  <si>
    <t>A2U</t>
  </si>
  <si>
    <t>Gets the array which spills into the cell 2 directly up from the active cell</t>
  </si>
  <si>
    <t>A - Get Range Name</t>
  </si>
  <si>
    <t>Gets name of shape range from input array</t>
  </si>
  <si>
    <t>Indirect</t>
  </si>
  <si>
    <t>IND</t>
  </si>
  <si>
    <t>Gets indirect of current cell value</t>
  </si>
  <si>
    <t>Reshape to One (1) Column</t>
  </si>
  <si>
    <t>1C</t>
  </si>
  <si>
    <t>Applies a TOCOL</t>
  </si>
  <si>
    <t>A - Link to range Bingo1</t>
  </si>
  <si>
    <t>links to Bingo1 named range</t>
  </si>
  <si>
    <t>Multiply Array by Left Most Array</t>
  </si>
  <si>
    <t>MAL</t>
  </si>
  <si>
    <t>Multiplies the current array with the left most array in the current cell region</t>
  </si>
  <si>
    <t>If Error Then Zero (0)</t>
  </si>
  <si>
    <t>E0</t>
  </si>
  <si>
    <t>Replaces errors with a 0</t>
  </si>
  <si>
    <t>Duplicate Array to Right</t>
  </si>
  <si>
    <t>Ctrl-Shift-R</t>
  </si>
  <si>
    <t>Copies current array to the right</t>
  </si>
  <si>
    <t>XMATCH with Array 2 Rows Up</t>
  </si>
  <si>
    <t>M2U</t>
  </si>
  <si>
    <t>Finds XMATCH of values in current array with array 2 cells up (can be the spilled range)</t>
  </si>
  <si>
    <t>Max of Array</t>
  </si>
  <si>
    <t>MAX</t>
  </si>
  <si>
    <t>Returns the maximum value of the array</t>
  </si>
  <si>
    <t>Duplicate Formula to Right</t>
  </si>
  <si>
    <t>DFR</t>
  </si>
  <si>
    <t>Copies formula in current cell to the right as exact formula (arrays only)</t>
  </si>
  <si>
    <t>Move Left 1</t>
  </si>
  <si>
    <t>Navigation only - moves a cell to the left</t>
  </si>
  <si>
    <t>XLOOKUP Value in Arrays to Left</t>
  </si>
  <si>
    <t>LL</t>
  </si>
  <si>
    <t>Looks up current cell value in array 1 cell to the left, returning values from array 2 cells to the left</t>
  </si>
  <si>
    <t>A - Link to range Bingo2</t>
  </si>
  <si>
    <t>links to Bingo2 named range</t>
  </si>
  <si>
    <t>A - Calculations for Answer</t>
  </si>
  <si>
    <t>Sets up final calculation explicitly for this file</t>
  </si>
  <si>
    <t>Link Answer Cell</t>
  </si>
  <si>
    <t>ANS</t>
  </si>
  <si>
    <t>Links the data table ANSWER cell to the currently selected cell</t>
  </si>
  <si>
    <t>How to add parameters?</t>
  </si>
  <si>
    <t>Session Added</t>
  </si>
  <si>
    <t>B - Name Ranges: Bushland Adventures</t>
  </si>
  <si>
    <t>NRB</t>
  </si>
  <si>
    <t>Sum by Step (step last)</t>
  </si>
  <si>
    <t>Cumulative sum of steps (gets unique list in last column and totals a cumulative sum of first column)</t>
  </si>
  <si>
    <t>Go To Level 1</t>
  </si>
  <si>
    <t>L1</t>
  </si>
  <si>
    <t>Goes to level 1</t>
  </si>
  <si>
    <t>Select Last Input And Remove</t>
  </si>
  <si>
    <t>R-0</t>
  </si>
  <si>
    <t xml:space="preserve"> hours</t>
  </si>
  <si>
    <t>Removes an inputted string from the last column of the inputs for a level</t>
  </si>
  <si>
    <t>Lookup from Column 2</t>
  </si>
  <si>
    <t>LK2</t>
  </si>
  <si>
    <t>PackSums</t>
  </si>
  <si>
    <t>Looks up current values, returning the 2nd column of the active range for an inputted named range</t>
  </si>
  <si>
    <t>Select Spill Range</t>
  </si>
  <si>
    <t>SS</t>
  </si>
  <si>
    <t>Selects spill range</t>
  </si>
  <si>
    <t>Save Game Answer To Left</t>
  </si>
  <si>
    <t>Ctrl-Shift-S</t>
  </si>
  <si>
    <t>MEWC Robot</t>
  </si>
  <si>
    <t>Saves selection to answers cells</t>
  </si>
  <si>
    <t>Go To Level 2</t>
  </si>
  <si>
    <t>L2</t>
  </si>
  <si>
    <t>Goes to level 2</t>
  </si>
  <si>
    <t>Select Input Pre1 And Remove</t>
  </si>
  <si>
    <t>R-1</t>
  </si>
  <si>
    <t>km</t>
  </si>
  <si>
    <t>Removes an inputted string from the second last column of the inputs for a level</t>
  </si>
  <si>
    <t>Select Next Column</t>
  </si>
  <si>
    <t>SNC</t>
  </si>
  <si>
    <t>Selects next column across</t>
  </si>
  <si>
    <t>Make Array To Right</t>
  </si>
  <si>
    <t>MAR</t>
  </si>
  <si>
    <t>Select Previous Column</t>
  </si>
  <si>
    <t>SPC</t>
  </si>
  <si>
    <t>Selects previous column</t>
  </si>
  <si>
    <t>Divide Array by Array to Left</t>
  </si>
  <si>
    <t>DAL</t>
  </si>
  <si>
    <t>Divides the selected range by the range one column to the left</t>
  </si>
  <si>
    <t>M60</t>
  </si>
  <si>
    <t>Multiplies value by 60</t>
  </si>
  <si>
    <t>Round to 0</t>
  </si>
  <si>
    <t>R0</t>
  </si>
  <si>
    <t>CompBot</t>
  </si>
  <si>
    <t>Round to 0 decimal places</t>
  </si>
  <si>
    <t>Go To Level 3</t>
  </si>
  <si>
    <t>L3</t>
  </si>
  <si>
    <t>Goes to level 3</t>
  </si>
  <si>
    <t>There is no Z! The Z is a lie!</t>
  </si>
  <si>
    <t>Paremeters</t>
  </si>
  <si>
    <t>Select Your Access</t>
  </si>
  <si>
    <t>Jaq</t>
  </si>
  <si>
    <t>Right-click and refresh table after update</t>
  </si>
  <si>
    <t>Name</t>
  </si>
  <si>
    <t>Author</t>
  </si>
  <si>
    <t>Tags</t>
  </si>
  <si>
    <t>Access Level</t>
  </si>
  <si>
    <t>Access</t>
  </si>
  <si>
    <t>... To Superhero</t>
  </si>
  <si>
    <t>Ny Tsiory Rakotonanahary</t>
  </si>
  <si>
    <t>2025,Ny Tsiory Rakotonanahary,MEWC Madagascar</t>
  </si>
  <si>
    <t>Moderate</t>
  </si>
  <si>
    <t>Excel Guru</t>
  </si>
  <si>
    <t>30 Minute Mystery</t>
  </si>
  <si>
    <t>Peter Scharl</t>
  </si>
  <si>
    <t>2024,Peter Scharl,MEWC</t>
  </si>
  <si>
    <t>Excel Pro</t>
  </si>
  <si>
    <t>5X</t>
  </si>
  <si>
    <t>2025,Ny Tsiory Rakotonanahary,FMWC Madagascar</t>
  </si>
  <si>
    <t>Hard</t>
  </si>
  <si>
    <t>A Dicey Battle</t>
  </si>
  <si>
    <t>Michael Jarman</t>
  </si>
  <si>
    <t>2022,MEWC,Michael Jarman</t>
  </si>
  <si>
    <t>A Licence on a Plate</t>
  </si>
  <si>
    <t>Andrew Grigolyunovich</t>
  </si>
  <si>
    <t>2022,MEWC,Andrew Grigolyunovich</t>
  </si>
  <si>
    <t>A Right Royal Battle (Part I)</t>
  </si>
  <si>
    <t>Harry Watson</t>
  </si>
  <si>
    <t>2025,FMWC UK,Harry Watson</t>
  </si>
  <si>
    <t>A Right Royal Battle (Part II)</t>
  </si>
  <si>
    <t>2025,Harry Watson,FMWC UK</t>
  </si>
  <si>
    <t>Very Hard</t>
  </si>
  <si>
    <t>A Story About the Reels</t>
  </si>
  <si>
    <t>2022,Andrew Grigolyunovich,All Star Battle</t>
  </si>
  <si>
    <t>Easy</t>
  </si>
  <si>
    <t>All Sausage</t>
  </si>
  <si>
    <t>Benjamin Weber</t>
  </si>
  <si>
    <t>2025,Benjamin Weber,FMWC DACH</t>
  </si>
  <si>
    <t>All's Well That Ends Excel</t>
  </si>
  <si>
    <t>Harry Gross, Diarmuid Early</t>
  </si>
  <si>
    <t>2025,Harry Gross,Diarmuid Early,FMWC UK</t>
  </si>
  <si>
    <t>Almost There</t>
  </si>
  <si>
    <t>Emils Saulitis</t>
  </si>
  <si>
    <t>2024,RTLV,Emils Saulitis</t>
  </si>
  <si>
    <t>2021,Andrew Grigolyunovich,Battle of 16</t>
  </si>
  <si>
    <t>At the Races</t>
  </si>
  <si>
    <t>James Curtis</t>
  </si>
  <si>
    <t>2023,RTLV,James Curtis</t>
  </si>
  <si>
    <t>Axel the Elf’s Christmas Catastrophe</t>
  </si>
  <si>
    <t>2024,MEWC,James Curtis</t>
  </si>
  <si>
    <t>Free</t>
  </si>
  <si>
    <t>Backgammon</t>
  </si>
  <si>
    <t>Dan Mayoh</t>
  </si>
  <si>
    <t>2023,Dan Mayoh,MEWC</t>
  </si>
  <si>
    <t>Battle Royal</t>
  </si>
  <si>
    <t>Harry Seiders</t>
  </si>
  <si>
    <t>2023,RTLV,Harry Seiders</t>
  </si>
  <si>
    <t>Battleship</t>
  </si>
  <si>
    <t>2021,Andrew Grigolyunovich,FMWC Open</t>
  </si>
  <si>
    <t>Bear Island</t>
  </si>
  <si>
    <t>Belote (FR)</t>
  </si>
  <si>
    <t>2024,Ny Tsiory Rakotonanahary,FMWC Madagascar,French</t>
  </si>
  <si>
    <t>Biathlon</t>
  </si>
  <si>
    <t>Bigger Portals</t>
  </si>
  <si>
    <t>Grayson Huynh</t>
  </si>
  <si>
    <t>2025,Grayson Huynh,MEWC</t>
  </si>
  <si>
    <t>Bit of Music</t>
  </si>
  <si>
    <t>Julien Lacaze</t>
  </si>
  <si>
    <t>2025,RTLV,Julien Lacaze</t>
  </si>
  <si>
    <t>Board Game</t>
  </si>
  <si>
    <t>Nick Boberg</t>
  </si>
  <si>
    <t>2025,MEWC,Nick Boberg</t>
  </si>
  <si>
    <t>Card Game</t>
  </si>
  <si>
    <t>Categories (City, Country, River)</t>
  </si>
  <si>
    <t>Census</t>
  </si>
  <si>
    <t>2024,RTLV,Harry Watson</t>
  </si>
  <si>
    <t>Chess with No Stress</t>
  </si>
  <si>
    <t>Choco-Late!</t>
  </si>
  <si>
    <t>Klinsmann Langhanz</t>
  </si>
  <si>
    <t>2024,Klinsmann Langhanz,FMWC Brasil</t>
  </si>
  <si>
    <t>Clash On Titan</t>
  </si>
  <si>
    <t>Harry Gross</t>
  </si>
  <si>
    <t>2024,MEWC,Harry Gross</t>
  </si>
  <si>
    <t>Climbing Mountains</t>
  </si>
  <si>
    <t>Clock Solitaire</t>
  </si>
  <si>
    <t>Jason Webber</t>
  </si>
  <si>
    <t>2023,Jason Webber,FMWC South Africa</t>
  </si>
  <si>
    <t>Collect Them All!</t>
  </si>
  <si>
    <t>Renier Wessels</t>
  </si>
  <si>
    <t>2022,MEWC,Renier Wessels</t>
  </si>
  <si>
    <t>Collecting Scarves</t>
  </si>
  <si>
    <t>2025,RTLV,Benjamin Weber</t>
  </si>
  <si>
    <t>Conversion Time</t>
  </si>
  <si>
    <t>Steyn Wolmarans</t>
  </si>
  <si>
    <t>2024,Steyn Wolmarans,FMWC South Africa</t>
  </si>
  <si>
    <t>Cribbage</t>
  </si>
  <si>
    <t>2023,MEWC,Peter Scharl</t>
  </si>
  <si>
    <t>Cricket Darts</t>
  </si>
  <si>
    <t>2023,MEWC,Harry Seiders</t>
  </si>
  <si>
    <t>Dans La Poche</t>
  </si>
  <si>
    <t>Deep Sea Diving</t>
  </si>
  <si>
    <t>2024,RTLV,Nick Boberg</t>
  </si>
  <si>
    <t>Did You Get the Plates?</t>
  </si>
  <si>
    <t>Doggie Daycare</t>
  </si>
  <si>
    <t>David Brown</t>
  </si>
  <si>
    <t>2024,RTLV,David Brown</t>
  </si>
  <si>
    <t>Dominate the Dominoes</t>
  </si>
  <si>
    <t>EVE Online</t>
  </si>
  <si>
    <t>Niels Terfehr</t>
  </si>
  <si>
    <t>2023,MEWC,Niels Terfehr</t>
  </si>
  <si>
    <t>Easy As Pi</t>
  </si>
  <si>
    <t/>
  </si>
  <si>
    <t>Eggs &amp; Bunnies</t>
  </si>
  <si>
    <t>Elections are Coming!</t>
  </si>
  <si>
    <t>Elimination Race to Las Vegas</t>
  </si>
  <si>
    <t>2023,Andrew Grigolyunovich,FMWC Grand Prix</t>
  </si>
  <si>
    <t>Euchre</t>
  </si>
  <si>
    <t>Lianna Gerish</t>
  </si>
  <si>
    <t>2022,MEWC,Lianna Gerish</t>
  </si>
  <si>
    <t>Excel Athlete Basics Revisited</t>
  </si>
  <si>
    <t>2024,FMWC Brasil,Klinsmann Langhanz</t>
  </si>
  <si>
    <t>Excel Superheroes</t>
  </si>
  <si>
    <t>2023,MEWC,Andrew Grigolyunovich</t>
  </si>
  <si>
    <t>Excelopolis</t>
  </si>
  <si>
    <t>Exemons</t>
  </si>
  <si>
    <t>2024,Ny Tsiory Rakotonanahary,FMWC Madagascar</t>
  </si>
  <si>
    <t>Fantasy Excel</t>
  </si>
  <si>
    <t>2023,RTLV,Peter Scharl</t>
  </si>
  <si>
    <t>Farming in the Land of Vines</t>
  </si>
  <si>
    <t>Five Hundred</t>
  </si>
  <si>
    <t>Tim Heng</t>
  </si>
  <si>
    <t>2022,MEWC,Tim Heng</t>
  </si>
  <si>
    <t>Flower Power</t>
  </si>
  <si>
    <t>2023,MEWC,Harry Gross</t>
  </si>
  <si>
    <t>Formula Fighters</t>
  </si>
  <si>
    <t>Anders Richter Lindén</t>
  </si>
  <si>
    <t>2025,Anders Richter Lindén,Other</t>
  </si>
  <si>
    <t>From Excel Pro…</t>
  </si>
  <si>
    <t>Game of Life</t>
  </si>
  <si>
    <t>2024,Jason Webber,FMWC South Africa</t>
  </si>
  <si>
    <t>Give Me a Hand</t>
  </si>
  <si>
    <t>Tim Froelich</t>
  </si>
  <si>
    <t>2025,Tim Froelich,MEWC</t>
  </si>
  <si>
    <t>Grocery Store Cleanup</t>
  </si>
  <si>
    <t>Hitchhiking Day</t>
  </si>
  <si>
    <t>Hopscotch</t>
  </si>
  <si>
    <t>Coby Dombrowksy</t>
  </si>
  <si>
    <t>2025,Coby Dombrowsky,MEWC</t>
  </si>
  <si>
    <t>How To Win The Microsoft Excel World Championship</t>
  </si>
  <si>
    <t>Diarmuid Early</t>
  </si>
  <si>
    <t>2026,Diarmuid Early,RTLV</t>
  </si>
  <si>
    <t>I am Left-Handed... Right?</t>
  </si>
  <si>
    <t>2024,RTLV,Klinsmann Langhanz</t>
  </si>
  <si>
    <t>I'm Just Wild about Harry</t>
  </si>
  <si>
    <t>2025,RTLV,Harry Seiders</t>
  </si>
  <si>
    <t>In Excel We Trust</t>
  </si>
  <si>
    <t>Indexing the Mails</t>
  </si>
  <si>
    <t>Ironman</t>
  </si>
  <si>
    <t>2024,MEWC,Nick Boberg</t>
  </si>
  <si>
    <t>IsometriChaos</t>
  </si>
  <si>
    <t>2024,MEWC,Klinsmann Langhanz</t>
  </si>
  <si>
    <t>It's Probably a Crab!</t>
  </si>
  <si>
    <t>2025,Nick Boberg,MEWC</t>
  </si>
  <si>
    <t>It's a Sequence</t>
  </si>
  <si>
    <t>2022,Andrew Grigolyunovich,Continent Battles</t>
  </si>
  <si>
    <t>It's a Snake!</t>
  </si>
  <si>
    <t>It’s Bowling Time</t>
  </si>
  <si>
    <t>Jumbled Jigsaws</t>
  </si>
  <si>
    <t>2025,MEWC,Harry Gross</t>
  </si>
  <si>
    <t>Kiwi Holiday</t>
  </si>
  <si>
    <t>2025,Nick Boberg,RTLV</t>
  </si>
  <si>
    <t>Knife Thrower</t>
  </si>
  <si>
    <t>Mikoja Rakotoalisoa</t>
  </si>
  <si>
    <t>2025,Mikoja Rakotoalisoa,MEWC</t>
  </si>
  <si>
    <t>Knights and Warriors</t>
  </si>
  <si>
    <t>Kruger National Park</t>
  </si>
  <si>
    <t>2024,Renier Wessels,FMWC South Africa</t>
  </si>
  <si>
    <t>Lana Banana</t>
  </si>
  <si>
    <t>Lana Goes Ice Skating</t>
  </si>
  <si>
    <t>Lana On Holiday - UK &amp; Ireland Version</t>
  </si>
  <si>
    <t>2025,Benjamin Weber,FMWC UK</t>
  </si>
  <si>
    <t>Lana on Holiday - DACH Edition</t>
  </si>
  <si>
    <t>Laundry Time</t>
  </si>
  <si>
    <t>Letter Soup</t>
  </si>
  <si>
    <t>Klinsmann Langhanz, Diarmuid Early</t>
  </si>
  <si>
    <t>2024,Klinsmann Langhanz,Diarmuid Early,FMWC Brasil</t>
  </si>
  <si>
    <t>Lost Instructions</t>
  </si>
  <si>
    <t>2025,RTLV,Peter Scharl</t>
  </si>
  <si>
    <t>Lottery</t>
  </si>
  <si>
    <t>2022,Andrew Grigolyunovich,Women's Battle</t>
  </si>
  <si>
    <t>Ludo</t>
  </si>
  <si>
    <t>2022,Andrew Grigolyunovich,Global Excel Summit</t>
  </si>
  <si>
    <t>Lumberjack</t>
  </si>
  <si>
    <t>Mahjong Solitaire</t>
  </si>
  <si>
    <t>2025,MEWC,Andrew Grigolyunovich</t>
  </si>
  <si>
    <t>Malice In Wonderland</t>
  </si>
  <si>
    <t>2025,Harry Gross,FMWC UK</t>
  </si>
  <si>
    <t>Maze</t>
  </si>
  <si>
    <t>Joseph Palisoc</t>
  </si>
  <si>
    <t>2022,MEWC,Joseph Palisoc</t>
  </si>
  <si>
    <t>Mealprep 101</t>
  </si>
  <si>
    <t>Jean Wolleh</t>
  </si>
  <si>
    <t>2025,Jean Wolleh,FMWC DACH</t>
  </si>
  <si>
    <t>Memory Game</t>
  </si>
  <si>
    <t>2026,RLTV,Emils Saulitis</t>
  </si>
  <si>
    <t>Minesweeper</t>
  </si>
  <si>
    <t>Modelario, a Platform Game</t>
  </si>
  <si>
    <t>Mortal Wombat</t>
  </si>
  <si>
    <t>Brian Wright</t>
  </si>
  <si>
    <t>2024,MEWC,Brian Wright</t>
  </si>
  <si>
    <t>Nakama Uprising</t>
  </si>
  <si>
    <t>Old Money</t>
  </si>
  <si>
    <t>Origami</t>
  </si>
  <si>
    <t>2025,MEWC,Klinsmann Langhanz</t>
  </si>
  <si>
    <t>Othello</t>
  </si>
  <si>
    <t>2022,MEWC,Diarmuid Early</t>
  </si>
  <si>
    <t>Paint It Red</t>
  </si>
  <si>
    <t>Painting Crews</t>
  </si>
  <si>
    <t>Klinsmann Langhanz, Peter Scharl</t>
  </si>
  <si>
    <t>2024,Klinsmann Langhanz,Peter Scharl,FMWC Brasil</t>
  </si>
  <si>
    <t>Pass the Arrows</t>
  </si>
  <si>
    <t>Passing Notes</t>
  </si>
  <si>
    <t>Willem Gerritsen</t>
  </si>
  <si>
    <t>2022,MEWC,Willem Gerritsen</t>
  </si>
  <si>
    <t>Perfect Date and Soulmate</t>
  </si>
  <si>
    <t>Pinball</t>
  </si>
  <si>
    <t>Andrew Gigolyunovich</t>
  </si>
  <si>
    <t>PipeMare</t>
  </si>
  <si>
    <t>Juan José Cifuentes</t>
  </si>
  <si>
    <t>2025,Juan José Cifuentes,RTLV</t>
  </si>
  <si>
    <t>Portal</t>
  </si>
  <si>
    <t>2024,MEWC,Grayson Huynh</t>
  </si>
  <si>
    <t>Potions Master</t>
  </si>
  <si>
    <t>2023,Peter Scharl,MEWC</t>
  </si>
  <si>
    <t>Power Gaming!</t>
  </si>
  <si>
    <t>2025,Juan José Cifuentes,MEWC</t>
  </si>
  <si>
    <t>Powerlifting</t>
  </si>
  <si>
    <t>Hadyn Wiseman</t>
  </si>
  <si>
    <t>2025,Hadyn Wiseman,MEWC</t>
  </si>
  <si>
    <t>Rami à 1</t>
  </si>
  <si>
    <t>Regatta</t>
  </si>
  <si>
    <t>Rugby World Cup 2023</t>
  </si>
  <si>
    <t>Run Forrest Run</t>
  </si>
  <si>
    <t>Réunion: A Volcano Island</t>
  </si>
  <si>
    <t>2024,MEWC,Julien Lacaze</t>
  </si>
  <si>
    <t>Seamstress Fast</t>
  </si>
  <si>
    <t>2025,Peter Scharl,MEWC</t>
  </si>
  <si>
    <t>Share the Ride</t>
  </si>
  <si>
    <t>2021,Andrew Gigolyunovich,FMWC Open</t>
  </si>
  <si>
    <t>Ship the World</t>
  </si>
  <si>
    <t>2024,RTLV,Benjamin Weber</t>
  </si>
  <si>
    <t>Ski Jumping</t>
  </si>
  <si>
    <t>Sleep as a Sport</t>
  </si>
  <si>
    <t>2024,MEWC,Harry Seiders</t>
  </si>
  <si>
    <t>Snap!</t>
  </si>
  <si>
    <t>So many Holidays</t>
  </si>
  <si>
    <t>Sommelier</t>
  </si>
  <si>
    <t>2024,RTLV,Peter Scharl</t>
  </si>
  <si>
    <t>Square of Fortune</t>
  </si>
  <si>
    <t>2022,Joseph Palisoc,Global Excel Summit</t>
  </si>
  <si>
    <t>Steppies en Pofadders</t>
  </si>
  <si>
    <t>2023,Renier Wessels,FMWC South Africa</t>
  </si>
  <si>
    <t>Steyn City</t>
  </si>
  <si>
    <t>2023,Steyn Wolmarans,FMWC South Africa</t>
  </si>
  <si>
    <t>Strategic Choices</t>
  </si>
  <si>
    <t>Studying Season 2024</t>
  </si>
  <si>
    <t>Super Grand Master</t>
  </si>
  <si>
    <t>T-Maraina</t>
  </si>
  <si>
    <t>Table Soccer</t>
  </si>
  <si>
    <t>2023,RTLV,Andrew Grigolyunovich</t>
  </si>
  <si>
    <t>Temple of the Golden Idol</t>
  </si>
  <si>
    <t>Tetris</t>
  </si>
  <si>
    <t>2021,Dan Mayoh,Battle of 16</t>
  </si>
  <si>
    <t>Text Me Back</t>
  </si>
  <si>
    <t>2025,Anders Richter Lindén,MEWC</t>
  </si>
  <si>
    <t>The 24 Hours of Le MEWC</t>
  </si>
  <si>
    <t>Vincent Morin</t>
  </si>
  <si>
    <t>2025,Vincent Morin,MEWC</t>
  </si>
  <si>
    <t>The Formula Bar And Grill</t>
  </si>
  <si>
    <t>2025,RTLV,Brian Wright</t>
  </si>
  <si>
    <t>The Gambler</t>
  </si>
  <si>
    <t>The Humble MVP</t>
  </si>
  <si>
    <t>Giles Male</t>
  </si>
  <si>
    <t>2025,Giles Male,FMWC UK</t>
  </si>
  <si>
    <t>The Many Maps of Merlin</t>
  </si>
  <si>
    <t>Elliott Paterson</t>
  </si>
  <si>
    <t>2025,Elliott Paterson,FMWC UK</t>
  </si>
  <si>
    <t>The Mzansi Hotel Group</t>
  </si>
  <si>
    <t>The Number 1 Fan (Part 1) 2022</t>
  </si>
  <si>
    <t>The Number 1 Fan (Part 1) 2023</t>
  </si>
  <si>
    <t>The Number 1 Fan (Part 1) 2024</t>
  </si>
  <si>
    <t>2024,MEWC,Andrew Grigolyunovich</t>
  </si>
  <si>
    <t>The Number 1 Fan (Part 1) 2025</t>
  </si>
  <si>
    <t>2025,Andrew Grigolyunovich,MEWC</t>
  </si>
  <si>
    <t>The Number 1 Fan (Part 2) 2022</t>
  </si>
  <si>
    <t>The Number 1 Fan (Part 2) 2023</t>
  </si>
  <si>
    <t>2023,MEWC,Andrew Grigolyunovic</t>
  </si>
  <si>
    <t>The Number 1 Fan (Part 2) 2024</t>
  </si>
  <si>
    <t>The Number 1 Fan (Part 2) 2025</t>
  </si>
  <si>
    <t>The Numbers Game</t>
  </si>
  <si>
    <t>The Odds for Mr. Odd</t>
  </si>
  <si>
    <t>The Simple Case</t>
  </si>
  <si>
    <t>2024,RTLV,Michael Jarman</t>
  </si>
  <si>
    <t>The Social Network</t>
  </si>
  <si>
    <t>2022,MEWC,Harry Gross</t>
  </si>
  <si>
    <t>The Toy Tycoon</t>
  </si>
  <si>
    <t>2025,Andrew Grigolyunovich,Other</t>
  </si>
  <si>
    <t>This Spreadsheet is a Nightmare</t>
  </si>
  <si>
    <t>2024,RTLV,Harry Seiders</t>
  </si>
  <si>
    <t>Treasure Hunt</t>
  </si>
  <si>
    <t>Tripeaks</t>
  </si>
  <si>
    <t>Tug of War</t>
  </si>
  <si>
    <t>Underground Mining</t>
  </si>
  <si>
    <t>Julian Pöltl</t>
  </si>
  <si>
    <t>2025,Julian Pöltl,FMWC DACH</t>
  </si>
  <si>
    <t>Use Your Head</t>
  </si>
  <si>
    <t>Tafita Rakotondrafara</t>
  </si>
  <si>
    <t>2024,Tafita Rakotondrafara,FMWC Madagascar</t>
  </si>
  <si>
    <t>VSTACK-Man</t>
  </si>
  <si>
    <t>Coby Dombrowsky</t>
  </si>
  <si>
    <t>2025,MEWC,Coby Dombrowsky</t>
  </si>
  <si>
    <t>Vatsy Tsinjo</t>
  </si>
  <si>
    <t>Vlookie the Gold Miner</t>
  </si>
  <si>
    <t>Vlookie-teur</t>
  </si>
  <si>
    <t>Wabble</t>
  </si>
  <si>
    <t>2024,MEWC,Harry Watson</t>
  </si>
  <si>
    <t>Waterflow</t>
  </si>
  <si>
    <t>Klinsmann Langhanz, Andrew Grigolyunovich</t>
  </si>
  <si>
    <t>2024,Klinsmann Langhanz,Andrew Grigolyunovich,FMWC Brasil</t>
  </si>
  <si>
    <t>Watt The Pho</t>
  </si>
  <si>
    <t>We're Not In Kansas Anymore</t>
  </si>
  <si>
    <t>2025,RTLV,Harry Gross</t>
  </si>
  <si>
    <t>We're Not In Kansas Anymore (MECC) - Junior Varsity</t>
  </si>
  <si>
    <t>2025,Harry Gross,MECC</t>
  </si>
  <si>
    <t>We're Not In Kansas Anymore (MECC) - Varsity</t>
  </si>
  <si>
    <t>Whack-a-Mole</t>
  </si>
  <si>
    <t>2023,Peter Scharl,RTLV</t>
  </si>
  <si>
    <t>What's My Flight Number?</t>
  </si>
  <si>
    <t>Patrick Chatain</t>
  </si>
  <si>
    <t>2023,RTLV,Patrick Chatain</t>
  </si>
  <si>
    <t>Where's Wally</t>
  </si>
  <si>
    <t>Whodunnit?</t>
  </si>
  <si>
    <t>2025,RTLV,Harry Watson</t>
  </si>
  <si>
    <t>World of Warcraft</t>
  </si>
  <si>
    <t>David Fortin, Andrew Grigolyunovich</t>
  </si>
  <si>
    <t>2024,MEWC,David Fortin,Andrew Grigolyunovich</t>
  </si>
  <si>
    <t>💩Head</t>
  </si>
  <si>
    <t>Karim Awenat</t>
  </si>
  <si>
    <t>2026,Karim Awenat,</t>
  </si>
  <si>
    <t>What Am I Doing?</t>
  </si>
  <si>
    <t>I have set myself an A-Z training challenge, covering a random case starting with each letter (from those available to me on play.excel-esports.com). For each case I am doing the following:</t>
  </si>
  <si>
    <t>1. Try the case timed for 30m and record my score</t>
  </si>
  <si>
    <t>2. Try the case again from start to finish and record my time (if step 1 is under 30m, skip this)</t>
  </si>
  <si>
    <t>3. Devise an OA robot only solution to practice commands and create new ones</t>
  </si>
  <si>
    <t>4. Post my OA Robot solve and record my time</t>
  </si>
  <si>
    <t>5. Do a special case "InstaSolve" using OA Robot and record my time*</t>
  </si>
  <si>
    <t>6. Randomly select my next case for my next challenge</t>
  </si>
  <si>
    <t>* This may be very fast, but is built off the back of hours of setup work. I can't do this IRL with a fresh case!!!</t>
  </si>
  <si>
    <t>The latest version of this file "A-Ztraining.xlsm" will be linked to below my videos so you can test it out yourself</t>
  </si>
  <si>
    <t>Difficult Map</t>
  </si>
  <si>
    <t>Access Map</t>
  </si>
  <si>
    <t>AccessLevelRequired</t>
  </si>
  <si>
    <t>Jaq's Cases</t>
  </si>
  <si>
    <t>Code</t>
  </si>
  <si>
    <t>Value</t>
  </si>
  <si>
    <t>It's Bowling Time</t>
  </si>
  <si>
    <t>Text Functions Case</t>
  </si>
  <si>
    <t>2026,Other</t>
  </si>
  <si>
    <t>Creates an array pointed at the active selection range</t>
  </si>
  <si>
    <t>B - Remove Hours</t>
  </si>
  <si>
    <t>AS ABOVE WITH INPUT " hours"</t>
  </si>
  <si>
    <t>AS ABOVE WITH INPUT "PackSums"</t>
  </si>
  <si>
    <t>B - Lookup Column 2 of PackSums</t>
  </si>
  <si>
    <t>B - Remove KM</t>
  </si>
  <si>
    <t>AS ABOVE WITH INPUT "km"</t>
  </si>
  <si>
    <t>B - Speed Multiplier</t>
  </si>
  <si>
    <t>Calculates multiplier for speed based on pack weight</t>
  </si>
  <si>
    <t>Make Array 2 To Right</t>
  </si>
  <si>
    <t>Make Array 3 To Right</t>
  </si>
  <si>
    <t>MA2R</t>
  </si>
  <si>
    <t>MA3R</t>
  </si>
  <si>
    <t>M1k</t>
  </si>
  <si>
    <t>Multiplies value by 1000</t>
  </si>
  <si>
    <t>Go To Level 4</t>
  </si>
  <si>
    <t>L4</t>
  </si>
  <si>
    <t>Goes to level 4</t>
  </si>
  <si>
    <t>Select Last Input</t>
  </si>
  <si>
    <t>LI</t>
  </si>
  <si>
    <t>Selects last input column</t>
  </si>
  <si>
    <t>Split Text By Semicolon</t>
  </si>
  <si>
    <t>S;</t>
  </si>
  <si>
    <t>Splits text into columns by semicolon</t>
  </si>
  <si>
    <t>Duplicate Arrays to Right</t>
  </si>
  <si>
    <t>Copies current arrays to the right, row by row so not a single large array!</t>
  </si>
  <si>
    <t>CR</t>
  </si>
  <si>
    <t>CU</t>
  </si>
  <si>
    <t>Select First Input</t>
  </si>
  <si>
    <t>FI</t>
  </si>
  <si>
    <t>Selects column of inputs 2 columns to the right of Answer column</t>
  </si>
  <si>
    <t>A-Ztraining</t>
  </si>
  <si>
    <t>PFA</t>
  </si>
  <si>
    <t>Go To Level 5</t>
  </si>
  <si>
    <t>L5</t>
  </si>
  <si>
    <t>Goes to level 5</t>
  </si>
  <si>
    <t>Count Unique Values In ArrayS</t>
  </si>
  <si>
    <t>Applies a COUNTEACHUNIQUEVALUE lambda to each selected array (copied from Array Robot)</t>
  </si>
  <si>
    <t>Copy To Clipboard</t>
  </si>
  <si>
    <t>C</t>
  </si>
  <si>
    <t>Copies selection</t>
  </si>
  <si>
    <t>B - Calculate Total Time with Pack Adjustment</t>
  </si>
  <si>
    <t>Calculates Total Time with adjustment for pack weight</t>
  </si>
  <si>
    <t>Go To Level 6</t>
  </si>
  <si>
    <t>L6</t>
  </si>
  <si>
    <t>Goes to level 6</t>
  </si>
  <si>
    <t>B - Apply PackWeightMult Lambda</t>
  </si>
  <si>
    <t>Applies lambdas to get pack weight</t>
  </si>
  <si>
    <t>Create Data Table</t>
  </si>
  <si>
    <t>Scroll To Selection</t>
  </si>
  <si>
    <t>CDT</t>
  </si>
  <si>
    <t>Creates a data table for the currently selected level</t>
  </si>
  <si>
    <t>Goes to selection in window</t>
  </si>
  <si>
    <t>Add Link To Right</t>
  </si>
  <si>
    <t>Adds link to the right to the current cell</t>
  </si>
  <si>
    <t>Duplicate Array To Below</t>
  </si>
  <si>
    <t>DA</t>
  </si>
  <si>
    <t>Duplicates array below</t>
  </si>
  <si>
    <t>Count Unique Values In Array</t>
  </si>
  <si>
    <t>Applies a COUNTEACHUNIQUEVALUE lambda to the array</t>
  </si>
  <si>
    <t>Move Down 1</t>
  </si>
  <si>
    <t>Moves down 1 cell</t>
  </si>
  <si>
    <t>Get Array 4 Up</t>
  </si>
  <si>
    <t>Get Movement</t>
  </si>
  <si>
    <t>M</t>
  </si>
  <si>
    <t>Applies Movement lambda to active cell</t>
  </si>
  <si>
    <t>B - Name Ranges: Bushland Adventures Cum Pack</t>
  </si>
  <si>
    <t>NRB2</t>
  </si>
  <si>
    <t>Duplicate Formula To Right</t>
  </si>
  <si>
    <t>DF</t>
  </si>
  <si>
    <t>Select Current Region</t>
  </si>
  <si>
    <t>SCR</t>
  </si>
  <si>
    <t>Selects current region of selected cell</t>
  </si>
  <si>
    <t>B - Add UP movements</t>
  </si>
  <si>
    <t>Sets UP values to 0.25, otherwise 0</t>
  </si>
  <si>
    <t>Sum Array</t>
  </si>
  <si>
    <t>SUM</t>
  </si>
  <si>
    <t>B - Add DOWN multiplier</t>
  </si>
  <si>
    <t>Gets the array which spills into the cell 4 directly up from the active cell</t>
  </si>
  <si>
    <t>Multiply Array by Array Above</t>
  </si>
  <si>
    <t>MAA</t>
  </si>
  <si>
    <t>Multiplies the current array with the array directly above</t>
  </si>
  <si>
    <t>Multiply Array by Value 5 Cells Up</t>
  </si>
  <si>
    <t>MA5U</t>
  </si>
  <si>
    <t>Multiplies the current array with the value 5 cells above</t>
  </si>
  <si>
    <t>Invert Array</t>
  </si>
  <si>
    <t>INV</t>
  </si>
  <si>
    <t>Inverts all values in an array</t>
  </si>
  <si>
    <t>Multiply By 60</t>
  </si>
  <si>
    <t>Multiply By 1000</t>
  </si>
  <si>
    <t>Divide by 2</t>
  </si>
  <si>
    <t>D2</t>
  </si>
  <si>
    <t>Divides by 2</t>
  </si>
  <si>
    <t>Sums Array</t>
  </si>
  <si>
    <t>Sets DOWN values to 1.25, otherwise 1</t>
  </si>
  <si>
    <t>Paste As References</t>
  </si>
  <si>
    <t>Formula Robot</t>
  </si>
  <si>
    <t>PR</t>
  </si>
  <si>
    <t>Select First Answer Cell</t>
  </si>
  <si>
    <t>SFA</t>
  </si>
  <si>
    <t>Goes to the first answer cell for the current level</t>
  </si>
  <si>
    <t>Pastes copied cells into selected cell as linked references</t>
  </si>
  <si>
    <t>Go To Level 7</t>
  </si>
  <si>
    <t>L7</t>
  </si>
  <si>
    <t>Goes to level 7</t>
  </si>
  <si>
    <t>Add Array to Array 2 Cells Above</t>
  </si>
  <si>
    <t>AA2U</t>
  </si>
  <si>
    <t>Adds the current array to the one 2 cells up</t>
  </si>
  <si>
    <t>Adds a link to the current cell to the right</t>
  </si>
  <si>
    <t>Get LEFT character</t>
  </si>
  <si>
    <t>L</t>
  </si>
  <si>
    <t>Applies LEFT function to current cell</t>
  </si>
  <si>
    <t>Multiply By 2</t>
  </si>
  <si>
    <t>M2</t>
  </si>
  <si>
    <t>Multiplies value by 2</t>
  </si>
  <si>
    <t>Get Sequence By Columns</t>
  </si>
  <si>
    <t>SC</t>
  </si>
  <si>
    <t>Gets a Sequence by columns from 1 to the value in the active cell</t>
  </si>
  <si>
    <t>Subtract 1</t>
  </si>
  <si>
    <t>S1</t>
  </si>
  <si>
    <t>Subtracts 1 from current cell value</t>
  </si>
  <si>
    <t>B - Scan above array with Arrow Shift</t>
  </si>
  <si>
    <t>Scans the current array and stacks the starting cell with arrow movements</t>
  </si>
  <si>
    <t>Move Up 1</t>
  </si>
  <si>
    <t>Navigation only - moves a cell up</t>
  </si>
  <si>
    <t>Move Left 4</t>
  </si>
  <si>
    <t>Navigation only - moves 4 cells to the left</t>
  </si>
  <si>
    <t>Move Right 4</t>
  </si>
  <si>
    <t>Navigation only - moves 4 cells to the right</t>
  </si>
  <si>
    <t>Hours Spent</t>
  </si>
  <si>
    <t>B - Bonus 1 calc</t>
  </si>
  <si>
    <t>Sets up calculation for Bonus 1</t>
  </si>
  <si>
    <t>B - Link to Level 3 Pack Weights</t>
  </si>
  <si>
    <t>Links to level 3 pack weights calculation</t>
  </si>
  <si>
    <t>B - Lookup terrain speed</t>
  </si>
  <si>
    <t>Looks up terrain in terrain speed table</t>
  </si>
  <si>
    <t>Creates an array pointed at the active selection range 2 cells to the right</t>
  </si>
  <si>
    <t>Creates an array pointed at the active selection range 3 cells to the right</t>
  </si>
  <si>
    <t>Copies current cell values to the right</t>
  </si>
  <si>
    <t>B - Address Lookup from TerrainMap</t>
  </si>
  <si>
    <t>Address Lookup from Parameter Range Name</t>
  </si>
  <si>
    <t>TerrMapWHdr</t>
  </si>
  <si>
    <t>Does a lookup from a range with header codes</t>
  </si>
  <si>
    <t>Does a lookup from TerrMapWHdr range with header codes</t>
  </si>
  <si>
    <t>TopoMapWHdr</t>
  </si>
  <si>
    <t>B - Address Lookup from TopoMap</t>
  </si>
  <si>
    <t>Paste Filter Array By Copied Cells in Row 1</t>
  </si>
  <si>
    <t>Filters each cell in selection, where first row of the cell = each cell of clipboard</t>
  </si>
  <si>
    <t>Count Columns Of ArrayS</t>
  </si>
  <si>
    <t>CC</t>
  </si>
  <si>
    <t>Wraps each array in COLUMNS to return a column count</t>
  </si>
  <si>
    <t>Get Array 3 Up</t>
  </si>
  <si>
    <t>A3U</t>
  </si>
  <si>
    <t>Gets the array which spills into the cell 3 directly up from the active cell</t>
  </si>
  <si>
    <t>SpeedMapWHdr</t>
  </si>
  <si>
    <t>B - Address Lookup from SpeedMap</t>
  </si>
  <si>
    <t>Does a lookup from SpeedMapWHdr range with header codes</t>
  </si>
  <si>
    <t>Does a lookup from TopoMapWHdr range with header codes</t>
  </si>
  <si>
    <t>Go To Bonus 1</t>
  </si>
  <si>
    <t>B1</t>
  </si>
  <si>
    <t>Goes to bonus question 1</t>
  </si>
  <si>
    <t>Go To Bonus 2</t>
  </si>
  <si>
    <t>B2</t>
  </si>
  <si>
    <t>Goes to bonus question 2</t>
  </si>
  <si>
    <t>Go To Bonus 3</t>
  </si>
  <si>
    <t>B3</t>
  </si>
  <si>
    <t>Goes to bonus question 3</t>
  </si>
  <si>
    <t>Go To Bonus 4</t>
  </si>
  <si>
    <t>B4</t>
  </si>
  <si>
    <t>Goes to bonus question 4</t>
  </si>
  <si>
    <t>B - Link to SpeedMap</t>
  </si>
  <si>
    <t>Links to SpeedMap range</t>
  </si>
  <si>
    <t>Count Rows of Array</t>
  </si>
  <si>
    <t>B - Bonus 5 count of 5 Check</t>
  </si>
  <si>
    <t>Terrain</t>
  </si>
  <si>
    <t>Speed</t>
  </si>
  <si>
    <t>ignore this - named ranges retained so lambdas still work</t>
  </si>
  <si>
    <t>Exclude Examples</t>
  </si>
  <si>
    <t>XE</t>
  </si>
  <si>
    <t>Excludes the top two rows from selection</t>
  </si>
  <si>
    <t>Paste Join by Semicolon</t>
  </si>
  <si>
    <t>PJ;</t>
  </si>
  <si>
    <t>Creates a TEXTJOIN by ; with the clipboard range</t>
  </si>
  <si>
    <t>B - Bonus 4 - set value to Rock</t>
  </si>
  <si>
    <t>Sets value to rock</t>
  </si>
  <si>
    <t>B - Link to TerrMap</t>
  </si>
  <si>
    <t>Links to TerrMap range</t>
  </si>
  <si>
    <t>Address Lookup on Value Above</t>
  </si>
  <si>
    <t>AL</t>
  </si>
  <si>
    <t>Calls ALOOKUP to look up value above in selected range and return address</t>
  </si>
  <si>
    <t>Count Errors</t>
  </si>
  <si>
    <t>CE</t>
  </si>
  <si>
    <t>Counts errors in the spilled array</t>
  </si>
  <si>
    <t>Move Right 11</t>
  </si>
  <si>
    <t>Navigation only - moves 11 cells to the right</t>
  </si>
  <si>
    <t>Go To Bonus 5</t>
  </si>
  <si>
    <t>B5</t>
  </si>
  <si>
    <t>Goes to bonus question 5</t>
  </si>
  <si>
    <t>Ctrl Right</t>
  </si>
  <si>
    <t>Duplicate Array Formula 2 To Right</t>
  </si>
  <si>
    <t>DF2</t>
  </si>
  <si>
    <t>B - Apply EZINDIRECT to array in cell from TerrainMap sheet</t>
  </si>
  <si>
    <t>Gets values from those cells in the TerrainMap</t>
  </si>
  <si>
    <t>Transpose Array</t>
  </si>
  <si>
    <t>T</t>
  </si>
  <si>
    <t>Applies TRANSPOSE to current array(s)</t>
  </si>
  <si>
    <t>Wrap in UNIQUE</t>
  </si>
  <si>
    <t>U</t>
  </si>
  <si>
    <t>Applies UNIQUE to current array(s)</t>
  </si>
  <si>
    <t>Count Rows Of Array</t>
  </si>
  <si>
    <t>Counts rows in current array(s)</t>
  </si>
  <si>
    <t>B - B5 - Go To 5</t>
  </si>
  <si>
    <t>Goes to cell in selection with value 5</t>
  </si>
  <si>
    <t>Go to First Cell in Row</t>
  </si>
  <si>
    <t>Goes to first cell in row</t>
  </si>
  <si>
    <t>Ctrl-Right: Goes to last cell to right</t>
  </si>
  <si>
    <t>Remove Outer Function</t>
  </si>
  <si>
    <t>Ctrl-Shift-Z</t>
  </si>
  <si>
    <t>Removes outermost function from cell formula</t>
  </si>
  <si>
    <t>B - B5 - Paste Get Items Not in Terrain List</t>
  </si>
  <si>
    <t>Gets terrain that is not in the current list</t>
  </si>
  <si>
    <t>Paste Get Items Not in List</t>
  </si>
  <si>
    <t>Speeds[Terrain]</t>
  </si>
  <si>
    <t>Gets values  that are in the array in the clipboard but not in the active cell list</t>
  </si>
  <si>
    <t>PGNIL</t>
  </si>
  <si>
    <t>Wraps formula in LEFT</t>
  </si>
  <si>
    <t>Select Right</t>
  </si>
  <si>
    <t>Ctrl-Shift-Right: selects from current cell to the right</t>
  </si>
  <si>
    <t>Wrap in Concat</t>
  </si>
  <si>
    <t>CON</t>
  </si>
  <si>
    <t>Wraps formula in CONCAT</t>
  </si>
  <si>
    <t>Duplicate Array Formula to Right</t>
  </si>
  <si>
    <t>Move Right 5</t>
  </si>
  <si>
    <t>Navigation only - moves 5 cells to the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</si>
</sst>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0.0"/>
  </numFmts>
  <fonts count="10" x14ac:knownFonts="1">
    <font>
      <sz val="16"/>
      <color theme="1"/>
      <name val="Verdana"/>
      <family val="2"/>
    </font>
    <font>
      <i/>
      <sz val="16"/>
      <color rgb="FF7F7F7F"/>
      <name val="Verdana"/>
      <family val="2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48"/>
      <color theme="3"/>
      <name val="Aptos Narrow"/>
      <family val="2"/>
      <scheme val="minor"/>
    </font>
    <font>
      <sz val="14"/>
      <color rgb="FF0000FF"/>
      <name val="Aptos Narrow"/>
      <family val="2"/>
      <scheme val="minor"/>
    </font>
    <font>
      <sz val="11"/>
      <name val="Roboto"/>
    </font>
    <font>
      <b/>
      <sz val="11"/>
      <color theme="0"/>
      <name val="Roboto"/>
    </font>
    <font>
      <sz val="12"/>
      <color theme="7" tint="-0.499984740745262"/>
      <name val="Roboto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28AB8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4" fillId="0" borderId="1" applyNumberFormat="0" applyFill="0" applyAlignment="0" applyProtection="0"/>
  </cellStyleXfs>
  <cellXfs count="24">
    <xf numFmtId="0" fontId="0" fillId="0" borderId="0" xfId="0"/>
    <xf numFmtId="0" fontId="2" fillId="0" borderId="0" xfId="2"/>
    <xf numFmtId="164" fontId="2" fillId="0" borderId="0" xfId="2" applyNumberFormat="1"/>
    <xf numFmtId="0" fontId="3" fillId="0" borderId="0" xfId="2" applyFont="1" applyAlignment="1">
      <alignment horizontal="centerContinuous"/>
    </xf>
    <xf numFmtId="0" fontId="2" fillId="0" borderId="0" xfId="2" applyAlignment="1">
      <alignment horizontal="centerContinuous"/>
    </xf>
    <xf numFmtId="0" fontId="3" fillId="0" borderId="0" xfId="2" applyFont="1"/>
    <xf numFmtId="0" fontId="3" fillId="0" borderId="0" xfId="2" applyFont="1" applyAlignment="1">
      <alignment wrapText="1"/>
    </xf>
    <xf numFmtId="0" fontId="5" fillId="0" borderId="1" xfId="3" applyFont="1" applyAlignment="1">
      <alignment horizontal="centerContinuous"/>
    </xf>
    <xf numFmtId="0" fontId="2" fillId="0" borderId="0" xfId="2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2" fillId="0" borderId="0" xfId="2" applyAlignment="1">
      <alignment wrapText="1"/>
    </xf>
    <xf numFmtId="0" fontId="2" fillId="0" borderId="0" xfId="2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" xfId="3" applyAlignment="1">
      <alignment horizontal="centerContinuous"/>
    </xf>
    <xf numFmtId="0" fontId="2" fillId="0" borderId="0" xfId="2"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1"/>
    <xf numFmtId="0" fontId="3" fillId="0" borderId="0" xfId="2" applyFont="1" applyAlignment="1">
      <alignment horizontal="right"/>
    </xf>
    <xf numFmtId="0" fontId="6" fillId="2" borderId="2" xfId="2" applyFont="1" applyFill="1" applyBorder="1"/>
    <xf numFmtId="0" fontId="2" fillId="3" borderId="0" xfId="2" applyFill="1"/>
    <xf numFmtId="0" fontId="7" fillId="0" borderId="0" xfId="0" applyFont="1"/>
    <xf numFmtId="3" fontId="8" fillId="4" borderId="3" xfId="0" applyNumberFormat="1" applyFont="1" applyFill="1" applyBorder="1" applyAlignment="1">
      <alignment horizontal="centerContinuous" vertical="center"/>
    </xf>
    <xf numFmtId="3" fontId="8" fillId="4" borderId="3" xfId="0" applyNumberFormat="1" applyFont="1" applyFill="1" applyBorder="1" applyAlignment="1">
      <alignment horizontal="centerContinuous" vertical="center" wrapText="1"/>
    </xf>
    <xf numFmtId="0" fontId="9" fillId="0" borderId="4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0" fontId="2" fillId="0" borderId="0" xfId="2" applyAlignment="1">
      <alignment horizontal="center" wrapText="1"/>
    </xf>
  </cellXfs>
  <cellStyles count="4">
    <cellStyle name="Explanatory Text" xfId="1" builtinId="53"/>
    <cellStyle name="Heading 1 2" xfId="3" xr:uid="{C0C9BA8D-8816-47D4-8C4E-DE7F944E685C}"/>
    <cellStyle name="Normal" xfId="0" builtinId="0"/>
    <cellStyle name="Normal 2" xfId="2" xr:uid="{613F73BE-C2EF-4B42-9253-FA65D218F959}"/>
  </cellStyles>
  <dxfs count="22"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499984740745262"/>
      </font>
      <fill>
        <patternFill>
          <bgColor theme="0" tint="-0.24994659260841701"/>
        </patternFill>
      </fill>
    </dxf>
    <dxf>
      <font>
        <strike/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499984740745262"/>
        <name val="Roboto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7" tint="-0.49998474074526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0" formatCode="General"/>
    </dxf>
  </dxfs>
  <tableStyles count="1" defaultTableStyle="TableStyleMedium2" defaultPivotStyle="PivotStyleLight16">
    <tableStyle name="Invisible" pivot="0" table="0" count="0" xr9:uid="{F32B5B94-4615-4833-B2EF-EFC48D8F77B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94593213022702E-2"/>
          <c:y val="2.4902706367118513E-2"/>
          <c:w val="0.96021081357395455"/>
          <c:h val="0.936093755791287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B!$L$5:$L$18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B!$M$5:$M$18</c:f>
              <c:numCache>
                <c:formatCode>General</c:formatCode>
                <c:ptCount val="14"/>
                <c:pt idx="0">
                  <c:v>9</c:v>
                </c:pt>
                <c:pt idx="1">
                  <c:v>17</c:v>
                </c:pt>
                <c:pt idx="2">
                  <c:v>19</c:v>
                </c:pt>
                <c:pt idx="3">
                  <c:v>3</c:v>
                </c:pt>
                <c:pt idx="4">
                  <c:v>16</c:v>
                </c:pt>
                <c:pt idx="5">
                  <c:v>5</c:v>
                </c:pt>
                <c:pt idx="6">
                  <c:v>18</c:v>
                </c:pt>
                <c:pt idx="7">
                  <c:v>54</c:v>
                </c:pt>
                <c:pt idx="8">
                  <c:v>38</c:v>
                </c:pt>
                <c:pt idx="9">
                  <c:v>1</c:v>
                </c:pt>
                <c:pt idx="10">
                  <c:v>19</c:v>
                </c:pt>
                <c:pt idx="11">
                  <c:v>29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0-48A6-9912-3B3382A5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9295"/>
        <c:axId val="13929775"/>
      </c:lineChart>
      <c:catAx>
        <c:axId val="1392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9775"/>
        <c:crosses val="autoZero"/>
        <c:auto val="1"/>
        <c:lblAlgn val="ctr"/>
        <c:lblOffset val="100"/>
        <c:noMultiLvlLbl val="0"/>
      </c:catAx>
      <c:valAx>
        <c:axId val="1392977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92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94320</xdr:colOff>
      <xdr:row>9</xdr:row>
      <xdr:rowOff>38100</xdr:rowOff>
    </xdr:from>
    <xdr:to>
      <xdr:col>10</xdr:col>
      <xdr:colOff>696254</xdr:colOff>
      <xdr:row>12</xdr:row>
      <xdr:rowOff>40969</xdr:rowOff>
    </xdr:to>
    <xdr:pic>
      <xdr:nvPicPr>
        <xdr:cNvPr id="2" name="Robot Sticker">
          <a:extLst>
            <a:ext uri="{FF2B5EF4-FFF2-40B4-BE49-F238E27FC236}">
              <a16:creationId xmlns:a16="http://schemas.microsoft.com/office/drawing/2014/main" id="{EEB9D75D-5358-421D-AB39-DD7083DF3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1845" y="2457450"/>
          <a:ext cx="1440134" cy="7172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630650</xdr:colOff>
      <xdr:row>1</xdr:row>
      <xdr:rowOff>66675</xdr:rowOff>
    </xdr:from>
    <xdr:to>
      <xdr:col>4</xdr:col>
      <xdr:colOff>3915166</xdr:colOff>
      <xdr:row>1</xdr:row>
      <xdr:rowOff>445220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E2F491D-8FD1-42D4-9149-7ED5E9806E3F}"/>
            </a:ext>
          </a:extLst>
        </xdr:cNvPr>
        <xdr:cNvGrpSpPr/>
      </xdr:nvGrpSpPr>
      <xdr:grpSpPr>
        <a:xfrm>
          <a:off x="5343454" y="199197"/>
          <a:ext cx="4021669" cy="378545"/>
          <a:chOff x="5334232" y="204149"/>
          <a:chExt cx="4020986" cy="378545"/>
        </a:xfrm>
      </xdr:grpSpPr>
      <xdr:pic>
        <xdr:nvPicPr>
          <xdr:cNvPr id="3" name="Picture 2" descr="Click Here for a Random Case">
            <a:extLst>
              <a:ext uri="{FF2B5EF4-FFF2-40B4-BE49-F238E27FC236}">
                <a16:creationId xmlns:a16="http://schemas.microsoft.com/office/drawing/2014/main" id="{61A675F8-A5BB-DDB3-3063-0200E2936C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34232" y="204149"/>
            <a:ext cx="4020986" cy="378545"/>
          </a:xfrm>
          <a:prstGeom prst="rect">
            <a:avLst/>
          </a:prstGeom>
          <a:solidFill>
            <a:srgbClr val="000000">
              <a:shade val="95000"/>
            </a:srgbClr>
          </a:solidFill>
          <a:ln w="28575" cap="sq">
            <a:solidFill>
              <a:srgbClr val="000000"/>
            </a:solidFill>
            <a:miter lim="800000"/>
          </a:ln>
          <a:effectLst>
            <a:outerShdw blurRad="254000" dist="190500" dir="2700000" sy="90000" algn="bl" rotWithShape="0">
              <a:srgbClr val="000000">
                <a:alpha val="40000"/>
              </a:srgbClr>
            </a:outerShdw>
          </a:effectLst>
        </xdr:spPr>
      </xdr:pic>
      <xdr:sp macro="[0]!GetNextCase" textlink="">
        <xdr:nvSpPr>
          <xdr:cNvPr id="4" name="TextBox 3">
            <a:extLst>
              <a:ext uri="{FF2B5EF4-FFF2-40B4-BE49-F238E27FC236}">
                <a16:creationId xmlns:a16="http://schemas.microsoft.com/office/drawing/2014/main" id="{4254DA29-E535-A6A3-C89D-A5FC544BAC87}"/>
              </a:ext>
            </a:extLst>
          </xdr:cNvPr>
          <xdr:cNvSpPr txBox="1"/>
        </xdr:nvSpPr>
        <xdr:spPr>
          <a:xfrm>
            <a:off x="5343760" y="213613"/>
            <a:ext cx="4001929" cy="3596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2400">
                <a:ln>
                  <a:solidFill>
                    <a:schemeClr val="tx1"/>
                  </a:solidFill>
                </a:ln>
                <a:solidFill>
                  <a:schemeClr val="bg1"/>
                </a:solidFill>
                <a:latin typeface="Aptos Black" panose="020B0004020202020204" pitchFamily="34" charset="0"/>
              </a:rPr>
              <a:t>Click for Random Case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3401784</xdr:colOff>
      <xdr:row>0</xdr:row>
      <xdr:rowOff>95250</xdr:rowOff>
    </xdr:from>
    <xdr:to>
      <xdr:col>7</xdr:col>
      <xdr:colOff>775606</xdr:colOff>
      <xdr:row>1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B12D68-6FCD-4CCB-B46C-34EF0CE7E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534e1f3e8d9cda95/Socials/Pending_2026/ExcelTismJaq/Jaq%20and%20Her%20Robots_A-Z/B/Bushland-Adventures-Nick-Boberg-Case-and-Answers%20-%20session%2010_3.xlsx" TargetMode="External"/><Relationship Id="rId1" Type="http://schemas.openxmlformats.org/officeDocument/2006/relationships/externalLinkPath" Target="/534e1f3e8d9cda95/Socials/Pending_2026/ExcelTismJaq/Jaq%20and%20Her%20Robots_A-Z/B/Bushland-Adventures-Nick-Boberg-Case-and-Answers%20-%20session%2010_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se"/>
      <sheetName val="TerrainMap"/>
      <sheetName val="SpeedMap"/>
      <sheetName val="TopographicMap"/>
      <sheetName val="Answers"/>
    </sheetNames>
    <sheetDataSet>
      <sheetData sheetId="0"/>
      <sheetData sheetId="1">
        <row r="2">
          <cell r="B2" t="str">
            <v>B</v>
          </cell>
          <cell r="C2" t="str">
            <v>C</v>
          </cell>
          <cell r="D2" t="str">
            <v>D</v>
          </cell>
          <cell r="E2" t="str">
            <v>E</v>
          </cell>
          <cell r="F2" t="str">
            <v>F</v>
          </cell>
          <cell r="G2" t="str">
            <v>G</v>
          </cell>
          <cell r="H2" t="str">
            <v>H</v>
          </cell>
          <cell r="I2" t="str">
            <v>I</v>
          </cell>
          <cell r="J2" t="str">
            <v>J</v>
          </cell>
          <cell r="K2" t="str">
            <v>K</v>
          </cell>
          <cell r="L2" t="str">
            <v>L</v>
          </cell>
          <cell r="M2" t="str">
            <v>M</v>
          </cell>
          <cell r="N2" t="str">
            <v>N</v>
          </cell>
          <cell r="O2" t="str">
            <v>O</v>
          </cell>
          <cell r="P2" t="str">
            <v>P</v>
          </cell>
          <cell r="Q2" t="str">
            <v>Q</v>
          </cell>
          <cell r="R2" t="str">
            <v>R</v>
          </cell>
          <cell r="S2" t="str">
            <v>S</v>
          </cell>
          <cell r="T2" t="str">
            <v>T</v>
          </cell>
          <cell r="U2" t="str">
            <v>U</v>
          </cell>
          <cell r="V2" t="str">
            <v>V</v>
          </cell>
          <cell r="W2" t="str">
            <v>W</v>
          </cell>
          <cell r="X2" t="str">
            <v>X</v>
          </cell>
          <cell r="Y2" t="str">
            <v>Y</v>
          </cell>
          <cell r="Z2" t="str">
            <v>Z</v>
          </cell>
          <cell r="AA2" t="str">
            <v>AA</v>
          </cell>
          <cell r="AB2" t="str">
            <v>AB</v>
          </cell>
          <cell r="AC2" t="str">
            <v>AC</v>
          </cell>
          <cell r="AD2" t="str">
            <v>AD</v>
          </cell>
          <cell r="AE2" t="str">
            <v>AE</v>
          </cell>
          <cell r="AF2" t="str">
            <v>AF</v>
          </cell>
          <cell r="AG2" t="str">
            <v>AG</v>
          </cell>
          <cell r="AH2" t="str">
            <v>AH</v>
          </cell>
          <cell r="AI2" t="str">
            <v>AI</v>
          </cell>
          <cell r="AJ2" t="str">
            <v>AJ</v>
          </cell>
          <cell r="AK2" t="str">
            <v>AK</v>
          </cell>
          <cell r="AL2" t="str">
            <v>AL</v>
          </cell>
          <cell r="AM2" t="str">
            <v>AM</v>
          </cell>
          <cell r="AN2" t="str">
            <v>AN</v>
          </cell>
          <cell r="AO2" t="str">
            <v>AO</v>
          </cell>
          <cell r="AP2" t="str">
            <v>AP</v>
          </cell>
          <cell r="AQ2" t="str">
            <v>AQ</v>
          </cell>
          <cell r="AR2" t="str">
            <v>AR</v>
          </cell>
          <cell r="AS2" t="str">
            <v>AS</v>
          </cell>
          <cell r="AT2" t="str">
            <v>AT</v>
          </cell>
          <cell r="AU2" t="str">
            <v>AU</v>
          </cell>
          <cell r="AV2" t="str">
            <v>AV</v>
          </cell>
          <cell r="AW2" t="str">
            <v>AW</v>
          </cell>
          <cell r="AX2" t="str">
            <v>AX</v>
          </cell>
          <cell r="AY2" t="str">
            <v>AY</v>
          </cell>
        </row>
        <row r="3">
          <cell r="A3">
            <v>3</v>
          </cell>
          <cell r="B3" t="str">
            <v>Water</v>
          </cell>
          <cell r="C3" t="str">
            <v>Water</v>
          </cell>
          <cell r="D3" t="str">
            <v>Water</v>
          </cell>
          <cell r="E3" t="str">
            <v>Water</v>
          </cell>
          <cell r="F3" t="str">
            <v>Water</v>
          </cell>
          <cell r="G3" t="str">
            <v>Water</v>
          </cell>
          <cell r="H3" t="str">
            <v>Water</v>
          </cell>
          <cell r="I3" t="str">
            <v>Sand</v>
          </cell>
          <cell r="J3" t="str">
            <v>Sand</v>
          </cell>
          <cell r="K3" t="str">
            <v>Sand</v>
          </cell>
          <cell r="L3" t="str">
            <v>Sand</v>
          </cell>
          <cell r="M3" t="str">
            <v>Sand</v>
          </cell>
          <cell r="N3" t="str">
            <v>Sand</v>
          </cell>
          <cell r="O3" t="str">
            <v>Sand</v>
          </cell>
          <cell r="P3" t="str">
            <v>Sand</v>
          </cell>
          <cell r="Q3" t="str">
            <v>Sand</v>
          </cell>
          <cell r="R3" t="str">
            <v>Sand</v>
          </cell>
          <cell r="S3" t="str">
            <v>Sand</v>
          </cell>
          <cell r="T3" t="str">
            <v>Sand</v>
          </cell>
          <cell r="U3" t="str">
            <v>Water</v>
          </cell>
          <cell r="V3" t="str">
            <v>Water</v>
          </cell>
          <cell r="W3" t="str">
            <v>Water</v>
          </cell>
          <cell r="X3" t="str">
            <v>Water</v>
          </cell>
          <cell r="Y3" t="str">
            <v>Water</v>
          </cell>
          <cell r="Z3" t="str">
            <v>Water</v>
          </cell>
          <cell r="AA3" t="str">
            <v>Sand</v>
          </cell>
          <cell r="AB3" t="str">
            <v>Grass</v>
          </cell>
          <cell r="AC3" t="str">
            <v>Grass</v>
          </cell>
          <cell r="AD3" t="str">
            <v>Grass</v>
          </cell>
          <cell r="AE3" t="str">
            <v>Grass</v>
          </cell>
          <cell r="AF3" t="str">
            <v>Grass</v>
          </cell>
          <cell r="AG3" t="str">
            <v>Grass</v>
          </cell>
          <cell r="AH3" t="str">
            <v>Grass</v>
          </cell>
          <cell r="AI3" t="str">
            <v>Grass</v>
          </cell>
          <cell r="AJ3" t="str">
            <v>Grass</v>
          </cell>
          <cell r="AK3" t="str">
            <v>Rock</v>
          </cell>
          <cell r="AL3" t="str">
            <v>Rock</v>
          </cell>
          <cell r="AM3" t="str">
            <v>Rock</v>
          </cell>
          <cell r="AN3" t="str">
            <v>Rock</v>
          </cell>
          <cell r="AO3" t="str">
            <v>Rock</v>
          </cell>
          <cell r="AP3" t="str">
            <v>Snow</v>
          </cell>
          <cell r="AQ3" t="str">
            <v>Snow</v>
          </cell>
          <cell r="AR3" t="str">
            <v>Snow</v>
          </cell>
          <cell r="AS3" t="str">
            <v>Rock</v>
          </cell>
          <cell r="AT3" t="str">
            <v>Rock</v>
          </cell>
          <cell r="AU3" t="str">
            <v>Rock</v>
          </cell>
          <cell r="AV3" t="str">
            <v>Forest</v>
          </cell>
          <cell r="AW3" t="str">
            <v>Forest</v>
          </cell>
          <cell r="AX3" t="str">
            <v>Forest</v>
          </cell>
          <cell r="AY3" t="str">
            <v>Forest</v>
          </cell>
        </row>
        <row r="4">
          <cell r="A4">
            <v>4</v>
          </cell>
          <cell r="B4" t="str">
            <v>Water</v>
          </cell>
          <cell r="C4" t="str">
            <v>Water</v>
          </cell>
          <cell r="D4" t="str">
            <v>Water</v>
          </cell>
          <cell r="E4" t="str">
            <v>Water</v>
          </cell>
          <cell r="F4" t="str">
            <v>Water</v>
          </cell>
          <cell r="G4" t="str">
            <v>Water</v>
          </cell>
          <cell r="H4" t="str">
            <v>Water</v>
          </cell>
          <cell r="I4" t="str">
            <v>Sand</v>
          </cell>
          <cell r="J4" t="str">
            <v>Sand</v>
          </cell>
          <cell r="K4" t="str">
            <v>Sand</v>
          </cell>
          <cell r="L4" t="str">
            <v>Sand</v>
          </cell>
          <cell r="M4" t="str">
            <v>Sand</v>
          </cell>
          <cell r="N4" t="str">
            <v>Sand</v>
          </cell>
          <cell r="O4" t="str">
            <v>Sand</v>
          </cell>
          <cell r="P4" t="str">
            <v>Sand</v>
          </cell>
          <cell r="Q4" t="str">
            <v>Sand</v>
          </cell>
          <cell r="R4" t="str">
            <v>Sand</v>
          </cell>
          <cell r="S4" t="str">
            <v>Sand</v>
          </cell>
          <cell r="T4" t="str">
            <v>Sand</v>
          </cell>
          <cell r="U4" t="str">
            <v>Water</v>
          </cell>
          <cell r="V4" t="str">
            <v>Water</v>
          </cell>
          <cell r="W4" t="str">
            <v>Water</v>
          </cell>
          <cell r="X4" t="str">
            <v>Water</v>
          </cell>
          <cell r="Y4" t="str">
            <v>Water</v>
          </cell>
          <cell r="Z4" t="str">
            <v>Water</v>
          </cell>
          <cell r="AA4" t="str">
            <v>Sand</v>
          </cell>
          <cell r="AB4" t="str">
            <v>Grass</v>
          </cell>
          <cell r="AC4" t="str">
            <v>Grass</v>
          </cell>
          <cell r="AD4" t="str">
            <v>Grass</v>
          </cell>
          <cell r="AE4" t="str">
            <v>Grass</v>
          </cell>
          <cell r="AF4" t="str">
            <v>Grass</v>
          </cell>
          <cell r="AG4" t="str">
            <v>Grass</v>
          </cell>
          <cell r="AH4" t="str">
            <v>Grass</v>
          </cell>
          <cell r="AI4" t="str">
            <v>Grass</v>
          </cell>
          <cell r="AJ4" t="str">
            <v>Grass</v>
          </cell>
          <cell r="AK4" t="str">
            <v>Rock</v>
          </cell>
          <cell r="AL4" t="str">
            <v>Rock</v>
          </cell>
          <cell r="AM4" t="str">
            <v>Rock</v>
          </cell>
          <cell r="AN4" t="str">
            <v>Rock</v>
          </cell>
          <cell r="AO4" t="str">
            <v>Snow</v>
          </cell>
          <cell r="AP4" t="str">
            <v>Snow</v>
          </cell>
          <cell r="AQ4" t="str">
            <v>Snow</v>
          </cell>
          <cell r="AR4" t="str">
            <v>Snow</v>
          </cell>
          <cell r="AS4" t="str">
            <v>Rock</v>
          </cell>
          <cell r="AT4" t="str">
            <v>Rock</v>
          </cell>
          <cell r="AU4" t="str">
            <v>Rock</v>
          </cell>
          <cell r="AV4" t="str">
            <v>Forest</v>
          </cell>
          <cell r="AW4" t="str">
            <v>Forest</v>
          </cell>
          <cell r="AX4" t="str">
            <v>Forest</v>
          </cell>
          <cell r="AY4" t="str">
            <v>Forest</v>
          </cell>
        </row>
        <row r="5">
          <cell r="A5">
            <v>5</v>
          </cell>
          <cell r="B5" t="str">
            <v>Water</v>
          </cell>
          <cell r="C5" t="str">
            <v>Water</v>
          </cell>
          <cell r="D5" t="str">
            <v>Water</v>
          </cell>
          <cell r="E5" t="str">
            <v>Water</v>
          </cell>
          <cell r="F5" t="str">
            <v>Water</v>
          </cell>
          <cell r="G5" t="str">
            <v>Water</v>
          </cell>
          <cell r="H5" t="str">
            <v>Water</v>
          </cell>
          <cell r="I5" t="str">
            <v>Sand</v>
          </cell>
          <cell r="J5" t="str">
            <v>Sand</v>
          </cell>
          <cell r="K5" t="str">
            <v>Sand</v>
          </cell>
          <cell r="L5" t="str">
            <v>Sand</v>
          </cell>
          <cell r="M5" t="str">
            <v>Sand</v>
          </cell>
          <cell r="N5" t="str">
            <v>Sand</v>
          </cell>
          <cell r="O5" t="str">
            <v>Sand</v>
          </cell>
          <cell r="P5" t="str">
            <v>Sand</v>
          </cell>
          <cell r="Q5" t="str">
            <v>Sand</v>
          </cell>
          <cell r="R5" t="str">
            <v>Sand</v>
          </cell>
          <cell r="S5" t="str">
            <v>Sand</v>
          </cell>
          <cell r="T5" t="str">
            <v>Sand</v>
          </cell>
          <cell r="U5" t="str">
            <v>Water</v>
          </cell>
          <cell r="V5" t="str">
            <v>Water</v>
          </cell>
          <cell r="W5" t="str">
            <v>Water</v>
          </cell>
          <cell r="X5" t="str">
            <v>Water</v>
          </cell>
          <cell r="Y5" t="str">
            <v>Water</v>
          </cell>
          <cell r="Z5" t="str">
            <v>Water</v>
          </cell>
          <cell r="AA5" t="str">
            <v>Sand</v>
          </cell>
          <cell r="AB5" t="str">
            <v>Grass</v>
          </cell>
          <cell r="AC5" t="str">
            <v>Grass</v>
          </cell>
          <cell r="AD5" t="str">
            <v>Grass</v>
          </cell>
          <cell r="AE5" t="str">
            <v>Grass</v>
          </cell>
          <cell r="AF5" t="str">
            <v>Grass</v>
          </cell>
          <cell r="AG5" t="str">
            <v>Grass</v>
          </cell>
          <cell r="AH5" t="str">
            <v>Grass</v>
          </cell>
          <cell r="AI5" t="str">
            <v>Grass</v>
          </cell>
          <cell r="AJ5" t="str">
            <v>Grass</v>
          </cell>
          <cell r="AK5" t="str">
            <v>Rock</v>
          </cell>
          <cell r="AL5" t="str">
            <v>Rock</v>
          </cell>
          <cell r="AM5" t="str">
            <v>Rock</v>
          </cell>
          <cell r="AN5" t="str">
            <v>Snow</v>
          </cell>
          <cell r="AO5" t="str">
            <v>Snow</v>
          </cell>
          <cell r="AP5" t="str">
            <v>Snow</v>
          </cell>
          <cell r="AQ5" t="str">
            <v>Snow</v>
          </cell>
          <cell r="AR5" t="str">
            <v>Snow</v>
          </cell>
          <cell r="AS5" t="str">
            <v>Rock</v>
          </cell>
          <cell r="AT5" t="str">
            <v>Rock</v>
          </cell>
          <cell r="AU5" t="str">
            <v>Rock</v>
          </cell>
          <cell r="AV5" t="str">
            <v>Forest</v>
          </cell>
          <cell r="AW5" t="str">
            <v>Forest</v>
          </cell>
          <cell r="AX5" t="str">
            <v>Forest</v>
          </cell>
          <cell r="AY5" t="str">
            <v>Forest</v>
          </cell>
        </row>
        <row r="6">
          <cell r="A6">
            <v>6</v>
          </cell>
          <cell r="B6" t="str">
            <v>Sand</v>
          </cell>
          <cell r="C6" t="str">
            <v>Sand</v>
          </cell>
          <cell r="D6" t="str">
            <v>Water</v>
          </cell>
          <cell r="E6" t="str">
            <v>Water</v>
          </cell>
          <cell r="F6" t="str">
            <v>Water</v>
          </cell>
          <cell r="G6" t="str">
            <v>Water</v>
          </cell>
          <cell r="H6" t="str">
            <v>Water</v>
          </cell>
          <cell r="I6" t="str">
            <v>Sand</v>
          </cell>
          <cell r="J6" t="str">
            <v>Sand</v>
          </cell>
          <cell r="K6" t="str">
            <v>Sand</v>
          </cell>
          <cell r="L6" t="str">
            <v>Sand</v>
          </cell>
          <cell r="M6" t="str">
            <v>Sand</v>
          </cell>
          <cell r="N6" t="str">
            <v>Sand</v>
          </cell>
          <cell r="O6" t="str">
            <v>Sand</v>
          </cell>
          <cell r="P6" t="str">
            <v>Sand</v>
          </cell>
          <cell r="Q6" t="str">
            <v>Sand</v>
          </cell>
          <cell r="R6" t="str">
            <v>Sand</v>
          </cell>
          <cell r="S6" t="str">
            <v>Sand</v>
          </cell>
          <cell r="T6" t="str">
            <v>Sand</v>
          </cell>
          <cell r="U6" t="str">
            <v>Water</v>
          </cell>
          <cell r="V6" t="str">
            <v>Water</v>
          </cell>
          <cell r="W6" t="str">
            <v>Water</v>
          </cell>
          <cell r="X6" t="str">
            <v>Water</v>
          </cell>
          <cell r="Y6" t="str">
            <v>Water</v>
          </cell>
          <cell r="Z6" t="str">
            <v>Water</v>
          </cell>
          <cell r="AA6" t="str">
            <v>Sand</v>
          </cell>
          <cell r="AB6" t="str">
            <v>Grass</v>
          </cell>
          <cell r="AC6" t="str">
            <v>Grass</v>
          </cell>
          <cell r="AD6" t="str">
            <v>Grass</v>
          </cell>
          <cell r="AE6" t="str">
            <v>Grass</v>
          </cell>
          <cell r="AF6" t="str">
            <v>Grass</v>
          </cell>
          <cell r="AG6" t="str">
            <v>Grass</v>
          </cell>
          <cell r="AH6" t="str">
            <v>Grass</v>
          </cell>
          <cell r="AI6" t="str">
            <v>Grass</v>
          </cell>
          <cell r="AJ6" t="str">
            <v>Grass</v>
          </cell>
          <cell r="AK6" t="str">
            <v>Rock</v>
          </cell>
          <cell r="AL6" t="str">
            <v>Rock</v>
          </cell>
          <cell r="AM6" t="str">
            <v>Rock</v>
          </cell>
          <cell r="AN6" t="str">
            <v>Snow</v>
          </cell>
          <cell r="AO6" t="str">
            <v>Snow</v>
          </cell>
          <cell r="AP6" t="str">
            <v>Snow</v>
          </cell>
          <cell r="AQ6" t="str">
            <v>Snow</v>
          </cell>
          <cell r="AR6" t="str">
            <v>Snow</v>
          </cell>
          <cell r="AS6" t="str">
            <v>Snow</v>
          </cell>
          <cell r="AT6" t="str">
            <v>Rock</v>
          </cell>
          <cell r="AU6" t="str">
            <v>Rock</v>
          </cell>
          <cell r="AV6" t="str">
            <v>Forest</v>
          </cell>
          <cell r="AW6" t="str">
            <v>Forest</v>
          </cell>
          <cell r="AX6" t="str">
            <v>Forest</v>
          </cell>
          <cell r="AY6" t="str">
            <v>Forest</v>
          </cell>
        </row>
        <row r="7">
          <cell r="A7">
            <v>7</v>
          </cell>
          <cell r="B7" t="str">
            <v>Sand</v>
          </cell>
          <cell r="C7" t="str">
            <v>Sand</v>
          </cell>
          <cell r="D7" t="str">
            <v>Water</v>
          </cell>
          <cell r="E7" t="str">
            <v>Water</v>
          </cell>
          <cell r="F7" t="str">
            <v>Water</v>
          </cell>
          <cell r="G7" t="str">
            <v>Water</v>
          </cell>
          <cell r="H7" t="str">
            <v>Water</v>
          </cell>
          <cell r="I7" t="str">
            <v>Water</v>
          </cell>
          <cell r="J7" t="str">
            <v>Water</v>
          </cell>
          <cell r="K7" t="str">
            <v>Sand</v>
          </cell>
          <cell r="L7" t="str">
            <v>Sand</v>
          </cell>
          <cell r="M7" t="str">
            <v>Sand</v>
          </cell>
          <cell r="N7" t="str">
            <v>Sand</v>
          </cell>
          <cell r="O7" t="str">
            <v>Sand</v>
          </cell>
          <cell r="P7" t="str">
            <v>Sand</v>
          </cell>
          <cell r="Q7" t="str">
            <v>Water</v>
          </cell>
          <cell r="R7" t="str">
            <v>Water</v>
          </cell>
          <cell r="S7" t="str">
            <v>Water</v>
          </cell>
          <cell r="T7" t="str">
            <v>Water</v>
          </cell>
          <cell r="U7" t="str">
            <v>Water</v>
          </cell>
          <cell r="V7" t="str">
            <v>Water</v>
          </cell>
          <cell r="W7" t="str">
            <v>Water</v>
          </cell>
          <cell r="X7" t="str">
            <v>Water</v>
          </cell>
          <cell r="Y7" t="str">
            <v>Water</v>
          </cell>
          <cell r="Z7" t="str">
            <v>Water</v>
          </cell>
          <cell r="AA7" t="str">
            <v>Sand</v>
          </cell>
          <cell r="AB7" t="str">
            <v>Grass</v>
          </cell>
          <cell r="AC7" t="str">
            <v>Grass</v>
          </cell>
          <cell r="AD7" t="str">
            <v>Grass</v>
          </cell>
          <cell r="AE7" t="str">
            <v>Grass</v>
          </cell>
          <cell r="AF7" t="str">
            <v>Grass</v>
          </cell>
          <cell r="AG7" t="str">
            <v>Grass</v>
          </cell>
          <cell r="AH7" t="str">
            <v>Grass</v>
          </cell>
          <cell r="AI7" t="str">
            <v>Grass</v>
          </cell>
          <cell r="AJ7" t="str">
            <v>Grass</v>
          </cell>
          <cell r="AK7" t="str">
            <v>Rock</v>
          </cell>
          <cell r="AL7" t="str">
            <v>Rock</v>
          </cell>
          <cell r="AM7" t="str">
            <v>Rock</v>
          </cell>
          <cell r="AN7" t="str">
            <v>Snow</v>
          </cell>
          <cell r="AO7" t="str">
            <v>Snow</v>
          </cell>
          <cell r="AP7" t="str">
            <v>Snow</v>
          </cell>
          <cell r="AQ7" t="str">
            <v>Snow</v>
          </cell>
          <cell r="AR7" t="str">
            <v>Snow</v>
          </cell>
          <cell r="AS7" t="str">
            <v>Snow</v>
          </cell>
          <cell r="AT7" t="str">
            <v>Rock</v>
          </cell>
          <cell r="AU7" t="str">
            <v>Rock</v>
          </cell>
          <cell r="AV7" t="str">
            <v>Forest</v>
          </cell>
          <cell r="AW7" t="str">
            <v>Forest</v>
          </cell>
          <cell r="AX7" t="str">
            <v>Forest</v>
          </cell>
          <cell r="AY7" t="str">
            <v>Forest</v>
          </cell>
        </row>
        <row r="8">
          <cell r="A8">
            <v>8</v>
          </cell>
          <cell r="B8" t="str">
            <v>Sand</v>
          </cell>
          <cell r="C8" t="str">
            <v>Sand</v>
          </cell>
          <cell r="D8" t="str">
            <v>Sand</v>
          </cell>
          <cell r="E8" t="str">
            <v>Sand</v>
          </cell>
          <cell r="F8" t="str">
            <v>Water</v>
          </cell>
          <cell r="G8" t="str">
            <v>Water</v>
          </cell>
          <cell r="H8" t="str">
            <v>Water</v>
          </cell>
          <cell r="I8" t="str">
            <v>Water</v>
          </cell>
          <cell r="J8" t="str">
            <v>Water</v>
          </cell>
          <cell r="K8" t="str">
            <v>Water</v>
          </cell>
          <cell r="L8" t="str">
            <v>Water</v>
          </cell>
          <cell r="M8" t="str">
            <v>Water</v>
          </cell>
          <cell r="N8" t="str">
            <v>Water</v>
          </cell>
          <cell r="O8" t="str">
            <v>Water</v>
          </cell>
          <cell r="P8" t="str">
            <v>Water</v>
          </cell>
          <cell r="Q8" t="str">
            <v>Water</v>
          </cell>
          <cell r="R8" t="str">
            <v>Water</v>
          </cell>
          <cell r="S8" t="str">
            <v>Water</v>
          </cell>
          <cell r="T8" t="str">
            <v>Water</v>
          </cell>
          <cell r="U8" t="str">
            <v>Water</v>
          </cell>
          <cell r="V8" t="str">
            <v>Water</v>
          </cell>
          <cell r="W8" t="str">
            <v>Water</v>
          </cell>
          <cell r="X8" t="str">
            <v>Water</v>
          </cell>
          <cell r="Y8" t="str">
            <v>Water</v>
          </cell>
          <cell r="Z8" t="str">
            <v>Sand</v>
          </cell>
          <cell r="AA8" t="str">
            <v>Sand</v>
          </cell>
          <cell r="AB8" t="str">
            <v>Grass</v>
          </cell>
          <cell r="AC8" t="str">
            <v>Grass</v>
          </cell>
          <cell r="AD8" t="str">
            <v>Grass</v>
          </cell>
          <cell r="AE8" t="str">
            <v>Grass</v>
          </cell>
          <cell r="AF8" t="str">
            <v>Grass</v>
          </cell>
          <cell r="AG8" t="str">
            <v>Grass</v>
          </cell>
          <cell r="AH8" t="str">
            <v>Grass</v>
          </cell>
          <cell r="AI8" t="str">
            <v>Grass</v>
          </cell>
          <cell r="AJ8" t="str">
            <v>Grass</v>
          </cell>
          <cell r="AK8" t="str">
            <v>Rock</v>
          </cell>
          <cell r="AL8" t="str">
            <v>Rock</v>
          </cell>
          <cell r="AM8" t="str">
            <v>Rock</v>
          </cell>
          <cell r="AN8" t="str">
            <v>Rock</v>
          </cell>
          <cell r="AO8" t="str">
            <v>Rock</v>
          </cell>
          <cell r="AP8" t="str">
            <v>Snow</v>
          </cell>
          <cell r="AQ8" t="str">
            <v>Snow</v>
          </cell>
          <cell r="AR8" t="str">
            <v>Snow</v>
          </cell>
          <cell r="AS8" t="str">
            <v>Snow</v>
          </cell>
          <cell r="AT8" t="str">
            <v>Rock</v>
          </cell>
          <cell r="AU8" t="str">
            <v>Rock</v>
          </cell>
          <cell r="AV8" t="str">
            <v>Forest</v>
          </cell>
          <cell r="AW8" t="str">
            <v>Forest</v>
          </cell>
          <cell r="AX8" t="str">
            <v>Forest</v>
          </cell>
          <cell r="AY8" t="str">
            <v>Forest</v>
          </cell>
        </row>
        <row r="9">
          <cell r="A9">
            <v>9</v>
          </cell>
          <cell r="B9" t="str">
            <v>Sand</v>
          </cell>
          <cell r="C9" t="str">
            <v>Sand</v>
          </cell>
          <cell r="D9" t="str">
            <v>Sand</v>
          </cell>
          <cell r="E9" t="str">
            <v>Sand</v>
          </cell>
          <cell r="F9" t="str">
            <v>Water</v>
          </cell>
          <cell r="G9" t="str">
            <v>Water</v>
          </cell>
          <cell r="H9" t="str">
            <v>Water</v>
          </cell>
          <cell r="I9" t="str">
            <v>Water</v>
          </cell>
          <cell r="J9" t="str">
            <v>Water</v>
          </cell>
          <cell r="K9" t="str">
            <v>Water</v>
          </cell>
          <cell r="L9" t="str">
            <v>Water</v>
          </cell>
          <cell r="M9" t="str">
            <v>Water</v>
          </cell>
          <cell r="N9" t="str">
            <v>Water</v>
          </cell>
          <cell r="O9" t="str">
            <v>Water</v>
          </cell>
          <cell r="P9" t="str">
            <v>Water</v>
          </cell>
          <cell r="Q9" t="str">
            <v>Water</v>
          </cell>
          <cell r="R9" t="str">
            <v>Water</v>
          </cell>
          <cell r="S9" t="str">
            <v>Water</v>
          </cell>
          <cell r="T9" t="str">
            <v>Water</v>
          </cell>
          <cell r="U9" t="str">
            <v>Water</v>
          </cell>
          <cell r="V9" t="str">
            <v>Sand</v>
          </cell>
          <cell r="W9" t="str">
            <v>Water</v>
          </cell>
          <cell r="X9" t="str">
            <v>Water</v>
          </cell>
          <cell r="Y9" t="str">
            <v>Water</v>
          </cell>
          <cell r="Z9" t="str">
            <v>Sand</v>
          </cell>
          <cell r="AA9" t="str">
            <v>Grass</v>
          </cell>
          <cell r="AB9" t="str">
            <v>Grass</v>
          </cell>
          <cell r="AC9" t="str">
            <v>Grass</v>
          </cell>
          <cell r="AD9" t="str">
            <v>Grass</v>
          </cell>
          <cell r="AE9" t="str">
            <v>Grass</v>
          </cell>
          <cell r="AF9" t="str">
            <v>Grass</v>
          </cell>
          <cell r="AG9" t="str">
            <v>Grass</v>
          </cell>
          <cell r="AH9" t="str">
            <v>Grass</v>
          </cell>
          <cell r="AI9" t="str">
            <v>Grass</v>
          </cell>
          <cell r="AJ9" t="str">
            <v>Grass</v>
          </cell>
          <cell r="AK9" t="str">
            <v>Grass</v>
          </cell>
          <cell r="AL9" t="str">
            <v>Rock</v>
          </cell>
          <cell r="AM9" t="str">
            <v>Rock</v>
          </cell>
          <cell r="AN9" t="str">
            <v>Rock</v>
          </cell>
          <cell r="AO9" t="str">
            <v>Rock</v>
          </cell>
          <cell r="AP9" t="str">
            <v>Rock</v>
          </cell>
          <cell r="AQ9" t="str">
            <v>Rock</v>
          </cell>
          <cell r="AR9" t="str">
            <v>Rock</v>
          </cell>
          <cell r="AS9" t="str">
            <v>Rock</v>
          </cell>
          <cell r="AT9" t="str">
            <v>Rock</v>
          </cell>
          <cell r="AU9" t="str">
            <v>Rock</v>
          </cell>
          <cell r="AV9" t="str">
            <v>Forest</v>
          </cell>
          <cell r="AW9" t="str">
            <v>Forest</v>
          </cell>
          <cell r="AX9" t="str">
            <v>Forest</v>
          </cell>
          <cell r="AY9" t="str">
            <v>Forest</v>
          </cell>
        </row>
        <row r="10">
          <cell r="A10">
            <v>10</v>
          </cell>
          <cell r="B10" t="str">
            <v>Sand</v>
          </cell>
          <cell r="C10" t="str">
            <v>Sand</v>
          </cell>
          <cell r="D10" t="str">
            <v>Sand</v>
          </cell>
          <cell r="E10" t="str">
            <v>Sand</v>
          </cell>
          <cell r="F10" t="str">
            <v>Sand</v>
          </cell>
          <cell r="G10" t="str">
            <v>Sand</v>
          </cell>
          <cell r="H10" t="str">
            <v>Sand</v>
          </cell>
          <cell r="I10" t="str">
            <v>Water</v>
          </cell>
          <cell r="J10" t="str">
            <v>Water</v>
          </cell>
          <cell r="K10" t="str">
            <v>Water</v>
          </cell>
          <cell r="L10" t="str">
            <v>Water</v>
          </cell>
          <cell r="M10" t="str">
            <v>Water</v>
          </cell>
          <cell r="N10" t="str">
            <v>Water</v>
          </cell>
          <cell r="O10" t="str">
            <v>Water</v>
          </cell>
          <cell r="P10" t="str">
            <v>Water</v>
          </cell>
          <cell r="Q10" t="str">
            <v>Water</v>
          </cell>
          <cell r="R10" t="str">
            <v>Sand</v>
          </cell>
          <cell r="S10" t="str">
            <v>Water</v>
          </cell>
          <cell r="T10" t="str">
            <v>Water</v>
          </cell>
          <cell r="U10" t="str">
            <v>Water</v>
          </cell>
          <cell r="V10" t="str">
            <v>Sand</v>
          </cell>
          <cell r="W10" t="str">
            <v>Sand</v>
          </cell>
          <cell r="X10" t="str">
            <v>Sand</v>
          </cell>
          <cell r="Y10" t="str">
            <v>Sand</v>
          </cell>
          <cell r="Z10" t="str">
            <v>Sand</v>
          </cell>
          <cell r="AA10" t="str">
            <v>Grass</v>
          </cell>
          <cell r="AB10" t="str">
            <v>Grass</v>
          </cell>
          <cell r="AC10" t="str">
            <v>Grass</v>
          </cell>
          <cell r="AD10" t="str">
            <v>Grass</v>
          </cell>
          <cell r="AE10" t="str">
            <v>Grass</v>
          </cell>
          <cell r="AF10" t="str">
            <v>Grass</v>
          </cell>
          <cell r="AG10" t="str">
            <v>Grass</v>
          </cell>
          <cell r="AH10" t="str">
            <v>Grass</v>
          </cell>
          <cell r="AI10" t="str">
            <v>Grass</v>
          </cell>
          <cell r="AJ10" t="str">
            <v>Grass</v>
          </cell>
          <cell r="AK10" t="str">
            <v>Grass</v>
          </cell>
          <cell r="AL10" t="str">
            <v>Grass</v>
          </cell>
          <cell r="AM10" t="str">
            <v>Rock</v>
          </cell>
          <cell r="AN10" t="str">
            <v>Rock</v>
          </cell>
          <cell r="AO10" t="str">
            <v>Rock</v>
          </cell>
          <cell r="AP10" t="str">
            <v>Rock</v>
          </cell>
          <cell r="AQ10" t="str">
            <v>Rock</v>
          </cell>
          <cell r="AR10" t="str">
            <v>Rock</v>
          </cell>
          <cell r="AS10" t="str">
            <v>Rock</v>
          </cell>
          <cell r="AT10" t="str">
            <v>Rock</v>
          </cell>
          <cell r="AU10" t="str">
            <v>Rock</v>
          </cell>
          <cell r="AV10" t="str">
            <v>Forest</v>
          </cell>
          <cell r="AW10" t="str">
            <v>Forest</v>
          </cell>
          <cell r="AX10" t="str">
            <v>Forest</v>
          </cell>
          <cell r="AY10" t="str">
            <v>Forest</v>
          </cell>
        </row>
        <row r="11">
          <cell r="A11">
            <v>11</v>
          </cell>
          <cell r="B11" t="str">
            <v>Sand</v>
          </cell>
          <cell r="C11" t="str">
            <v>Sand</v>
          </cell>
          <cell r="D11" t="str">
            <v>Sand</v>
          </cell>
          <cell r="E11" t="str">
            <v>Sand</v>
          </cell>
          <cell r="F11" t="str">
            <v>Sand</v>
          </cell>
          <cell r="G11" t="str">
            <v>Sand</v>
          </cell>
          <cell r="H11" t="str">
            <v>Sand</v>
          </cell>
          <cell r="I11" t="str">
            <v>Sand</v>
          </cell>
          <cell r="J11" t="str">
            <v>Water</v>
          </cell>
          <cell r="K11" t="str">
            <v>Water</v>
          </cell>
          <cell r="L11" t="str">
            <v>Water</v>
          </cell>
          <cell r="M11" t="str">
            <v>Water</v>
          </cell>
          <cell r="N11" t="str">
            <v>Water</v>
          </cell>
          <cell r="O11" t="str">
            <v>Sand</v>
          </cell>
          <cell r="P11" t="str">
            <v>Sand</v>
          </cell>
          <cell r="Q11" t="str">
            <v>Sand</v>
          </cell>
          <cell r="R11" t="str">
            <v>Sand</v>
          </cell>
          <cell r="S11" t="str">
            <v>Water</v>
          </cell>
          <cell r="T11" t="str">
            <v>Water</v>
          </cell>
          <cell r="U11" t="str">
            <v>Water</v>
          </cell>
          <cell r="V11" t="str">
            <v>Sand</v>
          </cell>
          <cell r="W11" t="str">
            <v>Sand</v>
          </cell>
          <cell r="X11" t="str">
            <v>Sand</v>
          </cell>
          <cell r="Y11" t="str">
            <v>Grass</v>
          </cell>
          <cell r="Z11" t="str">
            <v>Grass</v>
          </cell>
          <cell r="AA11" t="str">
            <v>Grass</v>
          </cell>
          <cell r="AB11" t="str">
            <v>Grass</v>
          </cell>
          <cell r="AC11" t="str">
            <v>Grass</v>
          </cell>
          <cell r="AD11" t="str">
            <v>Grass</v>
          </cell>
          <cell r="AE11" t="str">
            <v>Grass</v>
          </cell>
          <cell r="AF11" t="str">
            <v>Grass</v>
          </cell>
          <cell r="AG11" t="str">
            <v>Grass</v>
          </cell>
          <cell r="AH11" t="str">
            <v>Grass</v>
          </cell>
          <cell r="AI11" t="str">
            <v>Grass</v>
          </cell>
          <cell r="AJ11" t="str">
            <v>Grass</v>
          </cell>
          <cell r="AK11" t="str">
            <v>Grass</v>
          </cell>
          <cell r="AL11" t="str">
            <v>Grass</v>
          </cell>
          <cell r="AM11" t="str">
            <v>Rock</v>
          </cell>
          <cell r="AN11" t="str">
            <v>Rock</v>
          </cell>
          <cell r="AO11" t="str">
            <v>Rock</v>
          </cell>
          <cell r="AP11" t="str">
            <v>Rock</v>
          </cell>
          <cell r="AQ11" t="str">
            <v>Rock</v>
          </cell>
          <cell r="AR11" t="str">
            <v>Rock</v>
          </cell>
          <cell r="AS11" t="str">
            <v>Rock</v>
          </cell>
          <cell r="AT11" t="str">
            <v>Rock</v>
          </cell>
          <cell r="AU11" t="str">
            <v>Rock</v>
          </cell>
          <cell r="AV11" t="str">
            <v>Forest</v>
          </cell>
          <cell r="AW11" t="str">
            <v>Forest</v>
          </cell>
          <cell r="AX11" t="str">
            <v>Forest</v>
          </cell>
          <cell r="AY11" t="str">
            <v>Forest</v>
          </cell>
        </row>
        <row r="12">
          <cell r="A12">
            <v>12</v>
          </cell>
          <cell r="B12" t="str">
            <v>Grass</v>
          </cell>
          <cell r="C12" t="str">
            <v>Grass</v>
          </cell>
          <cell r="D12" t="str">
            <v>Grass</v>
          </cell>
          <cell r="E12" t="str">
            <v>Grass</v>
          </cell>
          <cell r="F12" t="str">
            <v>Sand</v>
          </cell>
          <cell r="G12" t="str">
            <v>Sand</v>
          </cell>
          <cell r="H12" t="str">
            <v>Sand</v>
          </cell>
          <cell r="I12" t="str">
            <v>Sand</v>
          </cell>
          <cell r="J12" t="str">
            <v>Sand</v>
          </cell>
          <cell r="K12" t="str">
            <v>Sand</v>
          </cell>
          <cell r="L12" t="str">
            <v>Sand</v>
          </cell>
          <cell r="M12" t="str">
            <v>Sand</v>
          </cell>
          <cell r="N12" t="str">
            <v>Sand</v>
          </cell>
          <cell r="O12" t="str">
            <v>Sand</v>
          </cell>
          <cell r="P12" t="str">
            <v>Sand</v>
          </cell>
          <cell r="Q12" t="str">
            <v>Sand</v>
          </cell>
          <cell r="R12" t="str">
            <v>Sand</v>
          </cell>
          <cell r="S12" t="str">
            <v>Water</v>
          </cell>
          <cell r="T12" t="str">
            <v>Water</v>
          </cell>
          <cell r="U12" t="str">
            <v>Water</v>
          </cell>
          <cell r="V12" t="str">
            <v>Sand</v>
          </cell>
          <cell r="W12" t="str">
            <v>Sand</v>
          </cell>
          <cell r="X12" t="str">
            <v>Grass</v>
          </cell>
          <cell r="Y12" t="str">
            <v>Grass</v>
          </cell>
          <cell r="Z12" t="str">
            <v>Grass</v>
          </cell>
          <cell r="AA12" t="str">
            <v>Grass</v>
          </cell>
          <cell r="AB12" t="str">
            <v>Grass</v>
          </cell>
          <cell r="AC12" t="str">
            <v>Grass</v>
          </cell>
          <cell r="AD12" t="str">
            <v>Grass</v>
          </cell>
          <cell r="AE12" t="str">
            <v>Grass</v>
          </cell>
          <cell r="AF12" t="str">
            <v>Grass</v>
          </cell>
          <cell r="AG12" t="str">
            <v>Grass</v>
          </cell>
          <cell r="AH12" t="str">
            <v>Grass</v>
          </cell>
          <cell r="AI12" t="str">
            <v>Forest</v>
          </cell>
          <cell r="AJ12" t="str">
            <v>Forest</v>
          </cell>
          <cell r="AK12" t="str">
            <v>Forest</v>
          </cell>
          <cell r="AL12" t="str">
            <v>Forest</v>
          </cell>
          <cell r="AM12" t="str">
            <v>Forest</v>
          </cell>
          <cell r="AN12" t="str">
            <v>Forest</v>
          </cell>
          <cell r="AO12" t="str">
            <v>Rock</v>
          </cell>
          <cell r="AP12" t="str">
            <v>Rock</v>
          </cell>
          <cell r="AQ12" t="str">
            <v>Rock</v>
          </cell>
          <cell r="AR12" t="str">
            <v>Rock</v>
          </cell>
          <cell r="AS12" t="str">
            <v>Rock</v>
          </cell>
          <cell r="AT12" t="str">
            <v>Forest</v>
          </cell>
          <cell r="AU12" t="str">
            <v>Forest</v>
          </cell>
          <cell r="AV12" t="str">
            <v>Forest</v>
          </cell>
          <cell r="AW12" t="str">
            <v>Forest</v>
          </cell>
          <cell r="AX12" t="str">
            <v>Forest</v>
          </cell>
          <cell r="AY12" t="str">
            <v>Forest</v>
          </cell>
        </row>
        <row r="13">
          <cell r="A13">
            <v>13</v>
          </cell>
          <cell r="B13" t="str">
            <v>Grass</v>
          </cell>
          <cell r="C13" t="str">
            <v>Grass</v>
          </cell>
          <cell r="D13" t="str">
            <v>Grass</v>
          </cell>
          <cell r="E13" t="str">
            <v>Grass</v>
          </cell>
          <cell r="F13" t="str">
            <v>Grass</v>
          </cell>
          <cell r="G13" t="str">
            <v>Grass</v>
          </cell>
          <cell r="H13" t="str">
            <v>Sand</v>
          </cell>
          <cell r="I13" t="str">
            <v>Sand</v>
          </cell>
          <cell r="J13" t="str">
            <v>Sand</v>
          </cell>
          <cell r="K13" t="str">
            <v>Sand</v>
          </cell>
          <cell r="L13" t="str">
            <v>Sand</v>
          </cell>
          <cell r="M13" t="str">
            <v>Sand</v>
          </cell>
          <cell r="N13" t="str">
            <v>Grass</v>
          </cell>
          <cell r="O13" t="str">
            <v>Grass</v>
          </cell>
          <cell r="P13" t="str">
            <v>Grass</v>
          </cell>
          <cell r="Q13" t="str">
            <v>Grass</v>
          </cell>
          <cell r="R13" t="str">
            <v>Sand</v>
          </cell>
          <cell r="S13" t="str">
            <v>Water</v>
          </cell>
          <cell r="T13" t="str">
            <v>Water</v>
          </cell>
          <cell r="U13" t="str">
            <v>Water</v>
          </cell>
          <cell r="V13" t="str">
            <v>Sand</v>
          </cell>
          <cell r="W13" t="str">
            <v>Grass</v>
          </cell>
          <cell r="X13" t="str">
            <v>Grass</v>
          </cell>
          <cell r="Y13" t="str">
            <v>Grass</v>
          </cell>
          <cell r="Z13" t="str">
            <v>Grass</v>
          </cell>
          <cell r="AA13" t="str">
            <v>Grass</v>
          </cell>
          <cell r="AB13" t="str">
            <v>Grass</v>
          </cell>
          <cell r="AC13" t="str">
            <v>Grass</v>
          </cell>
          <cell r="AD13" t="str">
            <v>Grass</v>
          </cell>
          <cell r="AE13" t="str">
            <v>Grass</v>
          </cell>
          <cell r="AF13" t="str">
            <v>Grass</v>
          </cell>
          <cell r="AG13" t="str">
            <v>Grass</v>
          </cell>
          <cell r="AH13" t="str">
            <v>Grass</v>
          </cell>
          <cell r="AI13" t="str">
            <v>Forest</v>
          </cell>
          <cell r="AJ13" t="str">
            <v>Forest</v>
          </cell>
          <cell r="AK13" t="str">
            <v>Forest</v>
          </cell>
          <cell r="AL13" t="str">
            <v>Forest</v>
          </cell>
          <cell r="AM13" t="str">
            <v>Forest</v>
          </cell>
          <cell r="AN13" t="str">
            <v>Forest</v>
          </cell>
          <cell r="AO13" t="str">
            <v>Rock</v>
          </cell>
          <cell r="AP13" t="str">
            <v>Rock</v>
          </cell>
          <cell r="AQ13" t="str">
            <v>Rock</v>
          </cell>
          <cell r="AR13" t="str">
            <v>Forest</v>
          </cell>
          <cell r="AS13" t="str">
            <v>Forest</v>
          </cell>
          <cell r="AT13" t="str">
            <v>Forest</v>
          </cell>
          <cell r="AU13" t="str">
            <v>Forest</v>
          </cell>
          <cell r="AV13" t="str">
            <v>Forest</v>
          </cell>
          <cell r="AW13" t="str">
            <v>Forest</v>
          </cell>
          <cell r="AX13" t="str">
            <v>Forest</v>
          </cell>
          <cell r="AY13" t="str">
            <v>Forest</v>
          </cell>
        </row>
        <row r="14">
          <cell r="A14">
            <v>14</v>
          </cell>
          <cell r="B14" t="str">
            <v>Grass</v>
          </cell>
          <cell r="C14" t="str">
            <v>Grass</v>
          </cell>
          <cell r="D14" t="str">
            <v>Grass</v>
          </cell>
          <cell r="E14" t="str">
            <v>Grass</v>
          </cell>
          <cell r="F14" t="str">
            <v>Grass</v>
          </cell>
          <cell r="G14" t="str">
            <v>Grass</v>
          </cell>
          <cell r="H14" t="str">
            <v>Grass</v>
          </cell>
          <cell r="I14" t="str">
            <v>Grass</v>
          </cell>
          <cell r="J14" t="str">
            <v>Grass</v>
          </cell>
          <cell r="K14" t="str">
            <v>Grass</v>
          </cell>
          <cell r="L14" t="str">
            <v>Grass</v>
          </cell>
          <cell r="M14" t="str">
            <v>Grass</v>
          </cell>
          <cell r="N14" t="str">
            <v>Grass</v>
          </cell>
          <cell r="O14" t="str">
            <v>Grass</v>
          </cell>
          <cell r="P14" t="str">
            <v>Grass</v>
          </cell>
          <cell r="Q14" t="str">
            <v>Grass</v>
          </cell>
          <cell r="R14" t="str">
            <v>Sand</v>
          </cell>
          <cell r="S14" t="str">
            <v>Water</v>
          </cell>
          <cell r="T14" t="str">
            <v>Water</v>
          </cell>
          <cell r="U14" t="str">
            <v>Water</v>
          </cell>
          <cell r="V14" t="str">
            <v>Water</v>
          </cell>
          <cell r="W14" t="str">
            <v>Water</v>
          </cell>
          <cell r="X14" t="str">
            <v>Water</v>
          </cell>
          <cell r="Y14" t="str">
            <v>Grass</v>
          </cell>
          <cell r="Z14" t="str">
            <v>Grass</v>
          </cell>
          <cell r="AA14" t="str">
            <v>Grass</v>
          </cell>
          <cell r="AB14" t="str">
            <v>Grass</v>
          </cell>
          <cell r="AC14" t="str">
            <v>Grass</v>
          </cell>
          <cell r="AD14" t="str">
            <v>Grass</v>
          </cell>
          <cell r="AE14" t="str">
            <v>Grass</v>
          </cell>
          <cell r="AF14" t="str">
            <v>Grass</v>
          </cell>
          <cell r="AG14" t="str">
            <v>Grass</v>
          </cell>
          <cell r="AH14" t="str">
            <v>Grass</v>
          </cell>
          <cell r="AI14" t="str">
            <v>Forest</v>
          </cell>
          <cell r="AJ14" t="str">
            <v>Forest</v>
          </cell>
          <cell r="AK14" t="str">
            <v>Forest</v>
          </cell>
          <cell r="AL14" t="str">
            <v>Forest</v>
          </cell>
          <cell r="AM14" t="str">
            <v>Rock</v>
          </cell>
          <cell r="AN14" t="str">
            <v>Rock</v>
          </cell>
          <cell r="AO14" t="str">
            <v>Rock</v>
          </cell>
          <cell r="AP14" t="str">
            <v>Rock</v>
          </cell>
          <cell r="AQ14" t="str">
            <v>Rock</v>
          </cell>
          <cell r="AR14" t="str">
            <v>Rock</v>
          </cell>
          <cell r="AS14" t="str">
            <v>Rock</v>
          </cell>
          <cell r="AT14" t="str">
            <v>Forest</v>
          </cell>
          <cell r="AU14" t="str">
            <v>Forest</v>
          </cell>
          <cell r="AV14" t="str">
            <v>Forest</v>
          </cell>
          <cell r="AW14" t="str">
            <v>Forest</v>
          </cell>
          <cell r="AX14" t="str">
            <v>Forest</v>
          </cell>
          <cell r="AY14" t="str">
            <v>Forest</v>
          </cell>
        </row>
        <row r="15">
          <cell r="A15">
            <v>15</v>
          </cell>
          <cell r="B15" t="str">
            <v>Grass</v>
          </cell>
          <cell r="C15" t="str">
            <v>Grass</v>
          </cell>
          <cell r="D15" t="str">
            <v>Grass</v>
          </cell>
          <cell r="E15" t="str">
            <v>Grass</v>
          </cell>
          <cell r="F15" t="str">
            <v>Grass</v>
          </cell>
          <cell r="G15" t="str">
            <v>Grass</v>
          </cell>
          <cell r="H15" t="str">
            <v>Grass</v>
          </cell>
          <cell r="I15" t="str">
            <v>Grass</v>
          </cell>
          <cell r="J15" t="str">
            <v>Grass</v>
          </cell>
          <cell r="K15" t="str">
            <v>Grass</v>
          </cell>
          <cell r="L15" t="str">
            <v>Grass</v>
          </cell>
          <cell r="M15" t="str">
            <v>Grass</v>
          </cell>
          <cell r="N15" t="str">
            <v>Grass</v>
          </cell>
          <cell r="O15" t="str">
            <v>Grass</v>
          </cell>
          <cell r="P15" t="str">
            <v>Grass</v>
          </cell>
          <cell r="Q15" t="str">
            <v>Grass</v>
          </cell>
          <cell r="R15" t="str">
            <v>Grass</v>
          </cell>
          <cell r="S15" t="str">
            <v>Grass</v>
          </cell>
          <cell r="T15" t="str">
            <v>Grass</v>
          </cell>
          <cell r="U15" t="str">
            <v>Water</v>
          </cell>
          <cell r="V15" t="str">
            <v>Water</v>
          </cell>
          <cell r="W15" t="str">
            <v>Water</v>
          </cell>
          <cell r="X15" t="str">
            <v>Water</v>
          </cell>
          <cell r="Y15" t="str">
            <v>Grass</v>
          </cell>
          <cell r="Z15" t="str">
            <v>Grass</v>
          </cell>
          <cell r="AA15" t="str">
            <v>Grass</v>
          </cell>
          <cell r="AB15" t="str">
            <v>Grass</v>
          </cell>
          <cell r="AC15" t="str">
            <v>Grass</v>
          </cell>
          <cell r="AD15" t="str">
            <v>Grass</v>
          </cell>
          <cell r="AE15" t="str">
            <v>Grass</v>
          </cell>
          <cell r="AF15" t="str">
            <v>Grass</v>
          </cell>
          <cell r="AG15" t="str">
            <v>Grass</v>
          </cell>
          <cell r="AH15" t="str">
            <v>Grass</v>
          </cell>
          <cell r="AI15" t="str">
            <v>Rock</v>
          </cell>
          <cell r="AJ15" t="str">
            <v>Rock</v>
          </cell>
          <cell r="AK15" t="str">
            <v>Rock</v>
          </cell>
          <cell r="AL15" t="str">
            <v>Rock</v>
          </cell>
          <cell r="AM15" t="str">
            <v>Rock</v>
          </cell>
          <cell r="AN15" t="str">
            <v>Rock</v>
          </cell>
          <cell r="AO15" t="str">
            <v>Rock</v>
          </cell>
          <cell r="AP15" t="str">
            <v>Rock</v>
          </cell>
          <cell r="AQ15" t="str">
            <v>Rock</v>
          </cell>
          <cell r="AR15" t="str">
            <v>Rock</v>
          </cell>
          <cell r="AS15" t="str">
            <v>Rock</v>
          </cell>
          <cell r="AT15" t="str">
            <v>Forest</v>
          </cell>
          <cell r="AU15" t="str">
            <v>Forest</v>
          </cell>
          <cell r="AV15" t="str">
            <v>Forest</v>
          </cell>
          <cell r="AW15" t="str">
            <v>Forest</v>
          </cell>
          <cell r="AX15" t="str">
            <v>Forest</v>
          </cell>
          <cell r="AY15" t="str">
            <v>Forest</v>
          </cell>
        </row>
        <row r="16">
          <cell r="A16">
            <v>16</v>
          </cell>
          <cell r="B16" t="str">
            <v>Grass</v>
          </cell>
          <cell r="C16" t="str">
            <v>Grass</v>
          </cell>
          <cell r="D16" t="str">
            <v>Grass</v>
          </cell>
          <cell r="E16" t="str">
            <v>Grass</v>
          </cell>
          <cell r="F16" t="str">
            <v>Grass</v>
          </cell>
          <cell r="G16" t="str">
            <v>Rock</v>
          </cell>
          <cell r="H16" t="str">
            <v>Rock</v>
          </cell>
          <cell r="I16" t="str">
            <v>Rock</v>
          </cell>
          <cell r="J16" t="str">
            <v>Rock</v>
          </cell>
          <cell r="K16" t="str">
            <v>Rock</v>
          </cell>
          <cell r="L16" t="str">
            <v>Rock</v>
          </cell>
          <cell r="M16" t="str">
            <v>Grass</v>
          </cell>
          <cell r="N16" t="str">
            <v>Grass</v>
          </cell>
          <cell r="O16" t="str">
            <v>Grass</v>
          </cell>
          <cell r="P16" t="str">
            <v>Grass</v>
          </cell>
          <cell r="Q16" t="str">
            <v>Grass</v>
          </cell>
          <cell r="R16" t="str">
            <v>Grass</v>
          </cell>
          <cell r="S16" t="str">
            <v>Grass</v>
          </cell>
          <cell r="T16" t="str">
            <v>Grass</v>
          </cell>
          <cell r="U16" t="str">
            <v>Grass</v>
          </cell>
          <cell r="V16" t="str">
            <v>Grass</v>
          </cell>
          <cell r="W16" t="str">
            <v>Water</v>
          </cell>
          <cell r="X16" t="str">
            <v>Water</v>
          </cell>
          <cell r="Y16" t="str">
            <v>Grass</v>
          </cell>
          <cell r="Z16" t="str">
            <v>Grass</v>
          </cell>
          <cell r="AA16" t="str">
            <v>Water</v>
          </cell>
          <cell r="AB16" t="str">
            <v>Grass</v>
          </cell>
          <cell r="AC16" t="str">
            <v>Grass</v>
          </cell>
          <cell r="AD16" t="str">
            <v>Grass</v>
          </cell>
          <cell r="AE16" t="str">
            <v>Grass</v>
          </cell>
          <cell r="AF16" t="str">
            <v>Grass</v>
          </cell>
          <cell r="AG16" t="str">
            <v>Rock</v>
          </cell>
          <cell r="AH16" t="str">
            <v>Rock</v>
          </cell>
          <cell r="AI16" t="str">
            <v>Rock</v>
          </cell>
          <cell r="AJ16" t="str">
            <v>Rock</v>
          </cell>
          <cell r="AK16" t="str">
            <v>Rock</v>
          </cell>
          <cell r="AL16" t="str">
            <v>Rock</v>
          </cell>
          <cell r="AM16" t="str">
            <v>Rock</v>
          </cell>
          <cell r="AN16" t="str">
            <v>Rock</v>
          </cell>
          <cell r="AO16" t="str">
            <v>Rock</v>
          </cell>
          <cell r="AP16" t="str">
            <v>Rock</v>
          </cell>
          <cell r="AQ16" t="str">
            <v>Rock</v>
          </cell>
          <cell r="AR16" t="str">
            <v>Rock</v>
          </cell>
          <cell r="AS16" t="str">
            <v>Rock</v>
          </cell>
          <cell r="AT16" t="str">
            <v>Forest</v>
          </cell>
          <cell r="AU16" t="str">
            <v>Forest</v>
          </cell>
          <cell r="AV16" t="str">
            <v>Forest</v>
          </cell>
          <cell r="AW16" t="str">
            <v>Forest</v>
          </cell>
          <cell r="AX16" t="str">
            <v>Forest</v>
          </cell>
          <cell r="AY16" t="str">
            <v>Forest</v>
          </cell>
        </row>
        <row r="17">
          <cell r="A17">
            <v>17</v>
          </cell>
          <cell r="B17" t="str">
            <v>Grass</v>
          </cell>
          <cell r="C17" t="str">
            <v>Grass</v>
          </cell>
          <cell r="D17" t="str">
            <v>Grass</v>
          </cell>
          <cell r="E17" t="str">
            <v>Rock</v>
          </cell>
          <cell r="F17" t="str">
            <v>Rock</v>
          </cell>
          <cell r="G17" t="str">
            <v>Rock</v>
          </cell>
          <cell r="H17" t="str">
            <v>Rock</v>
          </cell>
          <cell r="I17" t="str">
            <v>Rock</v>
          </cell>
          <cell r="J17" t="str">
            <v>Rock</v>
          </cell>
          <cell r="K17" t="str">
            <v>Rock</v>
          </cell>
          <cell r="L17" t="str">
            <v>Rock</v>
          </cell>
          <cell r="M17" t="str">
            <v>Grass</v>
          </cell>
          <cell r="N17" t="str">
            <v>Grass</v>
          </cell>
          <cell r="O17" t="str">
            <v>Grass</v>
          </cell>
          <cell r="P17" t="str">
            <v>Grass</v>
          </cell>
          <cell r="Q17" t="str">
            <v>Grass</v>
          </cell>
          <cell r="R17" t="str">
            <v>Grass</v>
          </cell>
          <cell r="S17" t="str">
            <v>Grass</v>
          </cell>
          <cell r="T17" t="str">
            <v>Grass</v>
          </cell>
          <cell r="U17" t="str">
            <v>Grass</v>
          </cell>
          <cell r="V17" t="str">
            <v>Grass</v>
          </cell>
          <cell r="W17" t="str">
            <v>Water</v>
          </cell>
          <cell r="X17" t="str">
            <v>Water</v>
          </cell>
          <cell r="Y17" t="str">
            <v>Grass</v>
          </cell>
          <cell r="Z17" t="str">
            <v>Grass</v>
          </cell>
          <cell r="AA17" t="str">
            <v>Water</v>
          </cell>
          <cell r="AB17" t="str">
            <v>Grass</v>
          </cell>
          <cell r="AC17" t="str">
            <v>Grass</v>
          </cell>
          <cell r="AD17" t="str">
            <v>Grass</v>
          </cell>
          <cell r="AE17" t="str">
            <v>Grass</v>
          </cell>
          <cell r="AF17" t="str">
            <v>Grass</v>
          </cell>
          <cell r="AG17" t="str">
            <v>Rock</v>
          </cell>
          <cell r="AH17" t="str">
            <v>Rock</v>
          </cell>
          <cell r="AI17" t="str">
            <v>Rock</v>
          </cell>
          <cell r="AJ17" t="str">
            <v>Rock</v>
          </cell>
          <cell r="AK17" t="str">
            <v>Rock</v>
          </cell>
          <cell r="AL17" t="str">
            <v>Rock</v>
          </cell>
          <cell r="AM17" t="str">
            <v>Rock</v>
          </cell>
          <cell r="AN17" t="str">
            <v>Rock</v>
          </cell>
          <cell r="AO17" t="str">
            <v>Rock</v>
          </cell>
          <cell r="AP17" t="str">
            <v>Rock</v>
          </cell>
          <cell r="AQ17" t="str">
            <v>Rock</v>
          </cell>
          <cell r="AR17" t="str">
            <v>Rock</v>
          </cell>
          <cell r="AS17" t="str">
            <v>Rock</v>
          </cell>
          <cell r="AT17" t="str">
            <v>Forest</v>
          </cell>
          <cell r="AU17" t="str">
            <v>Forest</v>
          </cell>
          <cell r="AV17" t="str">
            <v>Forest</v>
          </cell>
          <cell r="AW17" t="str">
            <v>Forest</v>
          </cell>
          <cell r="AX17" t="str">
            <v>Forest</v>
          </cell>
          <cell r="AY17" t="str">
            <v>Forest</v>
          </cell>
        </row>
        <row r="18">
          <cell r="A18">
            <v>18</v>
          </cell>
          <cell r="B18" t="str">
            <v>Grass</v>
          </cell>
          <cell r="C18" t="str">
            <v>Grass</v>
          </cell>
          <cell r="D18" t="str">
            <v>Rock</v>
          </cell>
          <cell r="E18" t="str">
            <v>Rock</v>
          </cell>
          <cell r="F18" t="str">
            <v>Rock</v>
          </cell>
          <cell r="G18" t="str">
            <v>Rock</v>
          </cell>
          <cell r="H18" t="str">
            <v>Rock</v>
          </cell>
          <cell r="I18" t="str">
            <v>Rock</v>
          </cell>
          <cell r="J18" t="str">
            <v>Rock</v>
          </cell>
          <cell r="K18" t="str">
            <v>Rock</v>
          </cell>
          <cell r="L18" t="str">
            <v>Rock</v>
          </cell>
          <cell r="M18" t="str">
            <v>Rock</v>
          </cell>
          <cell r="N18" t="str">
            <v>Rock</v>
          </cell>
          <cell r="O18" t="str">
            <v>Rock</v>
          </cell>
          <cell r="P18" t="str">
            <v>Grass</v>
          </cell>
          <cell r="Q18" t="str">
            <v>Grass</v>
          </cell>
          <cell r="R18" t="str">
            <v>Grass</v>
          </cell>
          <cell r="S18" t="str">
            <v>Grass</v>
          </cell>
          <cell r="T18" t="str">
            <v>Grass</v>
          </cell>
          <cell r="U18" t="str">
            <v>Grass</v>
          </cell>
          <cell r="V18" t="str">
            <v>Grass</v>
          </cell>
          <cell r="W18" t="str">
            <v>Water</v>
          </cell>
          <cell r="X18" t="str">
            <v>Water</v>
          </cell>
          <cell r="Y18" t="str">
            <v>Grass</v>
          </cell>
          <cell r="Z18" t="str">
            <v>Grass</v>
          </cell>
          <cell r="AA18" t="str">
            <v>Water</v>
          </cell>
          <cell r="AB18" t="str">
            <v>Grass</v>
          </cell>
          <cell r="AC18" t="str">
            <v>Grass</v>
          </cell>
          <cell r="AD18" t="str">
            <v>Grass</v>
          </cell>
          <cell r="AE18" t="str">
            <v>Grass</v>
          </cell>
          <cell r="AF18" t="str">
            <v>Rock</v>
          </cell>
          <cell r="AG18" t="str">
            <v>Rock</v>
          </cell>
          <cell r="AH18" t="str">
            <v>Rock</v>
          </cell>
          <cell r="AI18" t="str">
            <v>Rock</v>
          </cell>
          <cell r="AJ18" t="str">
            <v>Rock</v>
          </cell>
          <cell r="AK18" t="str">
            <v>Rock</v>
          </cell>
          <cell r="AL18" t="str">
            <v>Snow</v>
          </cell>
          <cell r="AM18" t="str">
            <v>Snow</v>
          </cell>
          <cell r="AN18" t="str">
            <v>Snow</v>
          </cell>
          <cell r="AO18" t="str">
            <v>Snow</v>
          </cell>
          <cell r="AP18" t="str">
            <v>Snow</v>
          </cell>
          <cell r="AQ18" t="str">
            <v>Rock</v>
          </cell>
          <cell r="AR18" t="str">
            <v>Rock</v>
          </cell>
          <cell r="AS18" t="str">
            <v>Rock</v>
          </cell>
          <cell r="AT18" t="str">
            <v>Forest</v>
          </cell>
          <cell r="AU18" t="str">
            <v>Forest</v>
          </cell>
          <cell r="AV18" t="str">
            <v>Forest</v>
          </cell>
          <cell r="AW18" t="str">
            <v>Forest</v>
          </cell>
          <cell r="AX18" t="str">
            <v>Forest</v>
          </cell>
          <cell r="AY18" t="str">
            <v>Forest</v>
          </cell>
        </row>
        <row r="19">
          <cell r="A19">
            <v>19</v>
          </cell>
          <cell r="B19" t="str">
            <v>Grass</v>
          </cell>
          <cell r="C19" t="str">
            <v>Grass</v>
          </cell>
          <cell r="D19" t="str">
            <v>Rock</v>
          </cell>
          <cell r="E19" t="str">
            <v>Rock</v>
          </cell>
          <cell r="F19" t="str">
            <v>Rock</v>
          </cell>
          <cell r="G19" t="str">
            <v>Rock</v>
          </cell>
          <cell r="H19" t="str">
            <v>Rock</v>
          </cell>
          <cell r="I19" t="str">
            <v>Rock</v>
          </cell>
          <cell r="J19" t="str">
            <v>Rock</v>
          </cell>
          <cell r="K19" t="str">
            <v>Rock</v>
          </cell>
          <cell r="L19" t="str">
            <v>Rock</v>
          </cell>
          <cell r="M19" t="str">
            <v>Rock</v>
          </cell>
          <cell r="N19" t="str">
            <v>Rock</v>
          </cell>
          <cell r="O19" t="str">
            <v>Rock</v>
          </cell>
          <cell r="P19" t="str">
            <v>Grass</v>
          </cell>
          <cell r="Q19" t="str">
            <v>Grass</v>
          </cell>
          <cell r="R19" t="str">
            <v>Grass</v>
          </cell>
          <cell r="S19" t="str">
            <v>Grass</v>
          </cell>
          <cell r="T19" t="str">
            <v>Grass</v>
          </cell>
          <cell r="U19" t="str">
            <v>Grass</v>
          </cell>
          <cell r="V19" t="str">
            <v>Grass</v>
          </cell>
          <cell r="W19" t="str">
            <v>Water</v>
          </cell>
          <cell r="X19" t="str">
            <v>Water</v>
          </cell>
          <cell r="Y19" t="str">
            <v>Grass</v>
          </cell>
          <cell r="Z19" t="str">
            <v>Grass</v>
          </cell>
          <cell r="AA19" t="str">
            <v>Water</v>
          </cell>
          <cell r="AB19" t="str">
            <v>Grass</v>
          </cell>
          <cell r="AC19" t="str">
            <v>Grass</v>
          </cell>
          <cell r="AD19" t="str">
            <v>Grass</v>
          </cell>
          <cell r="AE19" t="str">
            <v>Grass</v>
          </cell>
          <cell r="AF19" t="str">
            <v>Rock</v>
          </cell>
          <cell r="AG19" t="str">
            <v>Rock</v>
          </cell>
          <cell r="AH19" t="str">
            <v>Rock</v>
          </cell>
          <cell r="AI19" t="str">
            <v>Snow</v>
          </cell>
          <cell r="AJ19" t="str">
            <v>Snow</v>
          </cell>
          <cell r="AK19" t="str">
            <v>Snow</v>
          </cell>
          <cell r="AL19" t="str">
            <v>Snow</v>
          </cell>
          <cell r="AM19" t="str">
            <v>Snow</v>
          </cell>
          <cell r="AN19" t="str">
            <v>Snow</v>
          </cell>
          <cell r="AO19" t="str">
            <v>Snow</v>
          </cell>
          <cell r="AP19" t="str">
            <v>Snow</v>
          </cell>
          <cell r="AQ19" t="str">
            <v>Rock</v>
          </cell>
          <cell r="AR19" t="str">
            <v>Rock</v>
          </cell>
          <cell r="AS19" t="str">
            <v>Rock</v>
          </cell>
          <cell r="AT19" t="str">
            <v>Forest</v>
          </cell>
          <cell r="AU19" t="str">
            <v>Forest</v>
          </cell>
          <cell r="AV19" t="str">
            <v>Forest</v>
          </cell>
          <cell r="AW19" t="str">
            <v>Forest</v>
          </cell>
          <cell r="AX19" t="str">
            <v>Forest</v>
          </cell>
          <cell r="AY19" t="str">
            <v>Forest</v>
          </cell>
        </row>
        <row r="20">
          <cell r="A20">
            <v>20</v>
          </cell>
          <cell r="B20" t="str">
            <v>Grass</v>
          </cell>
          <cell r="C20" t="str">
            <v>Rock</v>
          </cell>
          <cell r="D20" t="str">
            <v>Rock</v>
          </cell>
          <cell r="E20" t="str">
            <v>Rock</v>
          </cell>
          <cell r="F20" t="str">
            <v>Rock</v>
          </cell>
          <cell r="G20" t="str">
            <v>Rock</v>
          </cell>
          <cell r="H20" t="str">
            <v>Snow</v>
          </cell>
          <cell r="I20" t="str">
            <v>Snow</v>
          </cell>
          <cell r="J20" t="str">
            <v>Rock</v>
          </cell>
          <cell r="K20" t="str">
            <v>Rock</v>
          </cell>
          <cell r="L20" t="str">
            <v>Rock</v>
          </cell>
          <cell r="M20" t="str">
            <v>Rock</v>
          </cell>
          <cell r="N20" t="str">
            <v>Rock</v>
          </cell>
          <cell r="O20" t="str">
            <v>Rock</v>
          </cell>
          <cell r="P20" t="str">
            <v>Rock</v>
          </cell>
          <cell r="Q20" t="str">
            <v>Rock</v>
          </cell>
          <cell r="R20" t="str">
            <v>Grass</v>
          </cell>
          <cell r="S20" t="str">
            <v>Grass</v>
          </cell>
          <cell r="T20" t="str">
            <v>Grass</v>
          </cell>
          <cell r="U20" t="str">
            <v>Grass</v>
          </cell>
          <cell r="V20" t="str">
            <v>Grass</v>
          </cell>
          <cell r="W20" t="str">
            <v>Water</v>
          </cell>
          <cell r="X20" t="str">
            <v>Water</v>
          </cell>
          <cell r="Y20" t="str">
            <v>Grass</v>
          </cell>
          <cell r="Z20" t="str">
            <v>Water</v>
          </cell>
          <cell r="AA20" t="str">
            <v>Water</v>
          </cell>
          <cell r="AB20" t="str">
            <v>Grass</v>
          </cell>
          <cell r="AC20" t="str">
            <v>Grass</v>
          </cell>
          <cell r="AD20" t="str">
            <v>Grass</v>
          </cell>
          <cell r="AE20" t="str">
            <v>Grass</v>
          </cell>
          <cell r="AF20" t="str">
            <v>Rock</v>
          </cell>
          <cell r="AG20" t="str">
            <v>Rock</v>
          </cell>
          <cell r="AH20" t="str">
            <v>Rock</v>
          </cell>
          <cell r="AI20" t="str">
            <v>Snow</v>
          </cell>
          <cell r="AJ20" t="str">
            <v>Snow</v>
          </cell>
          <cell r="AK20" t="str">
            <v>Snow</v>
          </cell>
          <cell r="AL20" t="str">
            <v>Snow</v>
          </cell>
          <cell r="AM20" t="str">
            <v>Snow</v>
          </cell>
          <cell r="AN20" t="str">
            <v>Snow</v>
          </cell>
          <cell r="AO20" t="str">
            <v>Snow</v>
          </cell>
          <cell r="AP20" t="str">
            <v>Snow</v>
          </cell>
          <cell r="AQ20" t="str">
            <v>Rock</v>
          </cell>
          <cell r="AR20" t="str">
            <v>Rock</v>
          </cell>
          <cell r="AS20" t="str">
            <v>Rock</v>
          </cell>
          <cell r="AT20" t="str">
            <v>Forest</v>
          </cell>
          <cell r="AU20" t="str">
            <v>Forest</v>
          </cell>
          <cell r="AV20" t="str">
            <v>Forest</v>
          </cell>
          <cell r="AW20" t="str">
            <v>Forest</v>
          </cell>
          <cell r="AX20" t="str">
            <v>Forest</v>
          </cell>
          <cell r="AY20" t="str">
            <v>Forest</v>
          </cell>
        </row>
        <row r="21">
          <cell r="A21">
            <v>21</v>
          </cell>
          <cell r="B21" t="str">
            <v>Grass</v>
          </cell>
          <cell r="C21" t="str">
            <v>Rock</v>
          </cell>
          <cell r="D21" t="str">
            <v>Rock</v>
          </cell>
          <cell r="E21" t="str">
            <v>Rock</v>
          </cell>
          <cell r="F21" t="str">
            <v>Rock</v>
          </cell>
          <cell r="G21" t="str">
            <v>Snow</v>
          </cell>
          <cell r="H21" t="str">
            <v>Snow</v>
          </cell>
          <cell r="I21" t="str">
            <v>Snow</v>
          </cell>
          <cell r="J21" t="str">
            <v>Snow</v>
          </cell>
          <cell r="K21" t="str">
            <v>Rock</v>
          </cell>
          <cell r="L21" t="str">
            <v>Rock</v>
          </cell>
          <cell r="M21" t="str">
            <v>Rock</v>
          </cell>
          <cell r="N21" t="str">
            <v>Rock</v>
          </cell>
          <cell r="O21" t="str">
            <v>Rock</v>
          </cell>
          <cell r="P21" t="str">
            <v>Rock</v>
          </cell>
          <cell r="Q21" t="str">
            <v>Rock</v>
          </cell>
          <cell r="R21" t="str">
            <v>Grass</v>
          </cell>
          <cell r="S21" t="str">
            <v>Grass</v>
          </cell>
          <cell r="T21" t="str">
            <v>Grass</v>
          </cell>
          <cell r="U21" t="str">
            <v>Grass</v>
          </cell>
          <cell r="V21" t="str">
            <v>Grass</v>
          </cell>
          <cell r="W21" t="str">
            <v>Water</v>
          </cell>
          <cell r="X21" t="str">
            <v>Water</v>
          </cell>
          <cell r="Y21" t="str">
            <v>Water</v>
          </cell>
          <cell r="Z21" t="str">
            <v>Water</v>
          </cell>
          <cell r="AA21" t="str">
            <v>Water</v>
          </cell>
          <cell r="AB21" t="str">
            <v>Grass</v>
          </cell>
          <cell r="AC21" t="str">
            <v>Grass</v>
          </cell>
          <cell r="AD21" t="str">
            <v>Grass</v>
          </cell>
          <cell r="AE21" t="str">
            <v>Grass</v>
          </cell>
          <cell r="AF21" t="str">
            <v>Rock</v>
          </cell>
          <cell r="AG21" t="str">
            <v>Rock</v>
          </cell>
          <cell r="AH21" t="str">
            <v>Rock</v>
          </cell>
          <cell r="AI21" t="str">
            <v>Snow</v>
          </cell>
          <cell r="AJ21" t="str">
            <v>Snow</v>
          </cell>
          <cell r="AK21" t="str">
            <v>Snow</v>
          </cell>
          <cell r="AL21" t="str">
            <v>Snow</v>
          </cell>
          <cell r="AM21" t="str">
            <v>Snow</v>
          </cell>
          <cell r="AN21" t="str">
            <v>Snow</v>
          </cell>
          <cell r="AO21" t="str">
            <v>Snow</v>
          </cell>
          <cell r="AP21" t="str">
            <v>Snow</v>
          </cell>
          <cell r="AQ21" t="str">
            <v>Rock</v>
          </cell>
          <cell r="AR21" t="str">
            <v>Rock</v>
          </cell>
          <cell r="AS21" t="str">
            <v>Rock</v>
          </cell>
          <cell r="AT21" t="str">
            <v>Forest</v>
          </cell>
          <cell r="AU21" t="str">
            <v>Forest</v>
          </cell>
          <cell r="AV21" t="str">
            <v>Forest</v>
          </cell>
          <cell r="AW21" t="str">
            <v>Forest</v>
          </cell>
          <cell r="AX21" t="str">
            <v>Forest</v>
          </cell>
          <cell r="AY21" t="str">
            <v>Forest</v>
          </cell>
        </row>
        <row r="22">
          <cell r="A22">
            <v>22</v>
          </cell>
          <cell r="B22" t="str">
            <v>Grass</v>
          </cell>
          <cell r="C22" t="str">
            <v>Grass</v>
          </cell>
          <cell r="D22" t="str">
            <v>Rock</v>
          </cell>
          <cell r="E22" t="str">
            <v>Rock</v>
          </cell>
          <cell r="F22" t="str">
            <v>Rock</v>
          </cell>
          <cell r="G22" t="str">
            <v>Snow</v>
          </cell>
          <cell r="H22" t="str">
            <v>Snow</v>
          </cell>
          <cell r="I22" t="str">
            <v>Snow</v>
          </cell>
          <cell r="J22" t="str">
            <v>Snow</v>
          </cell>
          <cell r="K22" t="str">
            <v>Snow</v>
          </cell>
          <cell r="L22" t="str">
            <v>Rock</v>
          </cell>
          <cell r="M22" t="str">
            <v>Rock</v>
          </cell>
          <cell r="N22" t="str">
            <v>Rock</v>
          </cell>
          <cell r="O22" t="str">
            <v>Rock</v>
          </cell>
          <cell r="P22" t="str">
            <v>Rock</v>
          </cell>
          <cell r="Q22" t="str">
            <v>Rock</v>
          </cell>
          <cell r="R22" t="str">
            <v>Grass</v>
          </cell>
          <cell r="S22" t="str">
            <v>Grass</v>
          </cell>
          <cell r="T22" t="str">
            <v>Grass</v>
          </cell>
          <cell r="U22" t="str">
            <v>Grass</v>
          </cell>
          <cell r="V22" t="str">
            <v>Grass</v>
          </cell>
          <cell r="W22" t="str">
            <v>Water</v>
          </cell>
          <cell r="X22" t="str">
            <v>Water</v>
          </cell>
          <cell r="Y22" t="str">
            <v>Water</v>
          </cell>
          <cell r="Z22" t="str">
            <v>Water</v>
          </cell>
          <cell r="AA22" t="str">
            <v>Grass</v>
          </cell>
          <cell r="AB22" t="str">
            <v>Grass</v>
          </cell>
          <cell r="AC22" t="str">
            <v>Grass</v>
          </cell>
          <cell r="AD22" t="str">
            <v>Grass</v>
          </cell>
          <cell r="AE22" t="str">
            <v>Grass</v>
          </cell>
          <cell r="AF22" t="str">
            <v>Rock</v>
          </cell>
          <cell r="AG22" t="str">
            <v>Rock</v>
          </cell>
          <cell r="AH22" t="str">
            <v>Rock</v>
          </cell>
          <cell r="AI22" t="str">
            <v>Snow</v>
          </cell>
          <cell r="AJ22" t="str">
            <v>Snow</v>
          </cell>
          <cell r="AK22" t="str">
            <v>Snow</v>
          </cell>
          <cell r="AL22" t="str">
            <v>Snow</v>
          </cell>
          <cell r="AM22" t="str">
            <v>Snow</v>
          </cell>
          <cell r="AN22" t="str">
            <v>Snow</v>
          </cell>
          <cell r="AO22" t="str">
            <v>Snow</v>
          </cell>
          <cell r="AP22" t="str">
            <v>Snow</v>
          </cell>
          <cell r="AQ22" t="str">
            <v>Rock</v>
          </cell>
          <cell r="AR22" t="str">
            <v>Rock</v>
          </cell>
          <cell r="AS22" t="str">
            <v>Rock</v>
          </cell>
          <cell r="AT22" t="str">
            <v>Forest</v>
          </cell>
          <cell r="AU22" t="str">
            <v>Forest</v>
          </cell>
          <cell r="AV22" t="str">
            <v>Forest</v>
          </cell>
          <cell r="AW22" t="str">
            <v>Forest</v>
          </cell>
          <cell r="AX22" t="str">
            <v>Forest</v>
          </cell>
          <cell r="AY22" t="str">
            <v>Forest</v>
          </cell>
        </row>
        <row r="23">
          <cell r="A23">
            <v>23</v>
          </cell>
          <cell r="B23" t="str">
            <v>Grass</v>
          </cell>
          <cell r="C23" t="str">
            <v>Grass</v>
          </cell>
          <cell r="D23" t="str">
            <v>Rock</v>
          </cell>
          <cell r="E23" t="str">
            <v>Rock</v>
          </cell>
          <cell r="F23" t="str">
            <v>Rock</v>
          </cell>
          <cell r="G23" t="str">
            <v>Snow</v>
          </cell>
          <cell r="H23" t="str">
            <v>Snow</v>
          </cell>
          <cell r="I23" t="str">
            <v>Snow</v>
          </cell>
          <cell r="J23" t="str">
            <v>Snow</v>
          </cell>
          <cell r="K23" t="str">
            <v>Snow</v>
          </cell>
          <cell r="L23" t="str">
            <v>Rock</v>
          </cell>
          <cell r="M23" t="str">
            <v>Rock</v>
          </cell>
          <cell r="N23" t="str">
            <v>Rock</v>
          </cell>
          <cell r="O23" t="str">
            <v>Rock</v>
          </cell>
          <cell r="P23" t="str">
            <v>Rock</v>
          </cell>
          <cell r="Q23" t="str">
            <v>Rock</v>
          </cell>
          <cell r="R23" t="str">
            <v>Grass</v>
          </cell>
          <cell r="S23" t="str">
            <v>Grass</v>
          </cell>
          <cell r="T23" t="str">
            <v>Grass</v>
          </cell>
          <cell r="U23" t="str">
            <v>Grass</v>
          </cell>
          <cell r="V23" t="str">
            <v>Grass</v>
          </cell>
          <cell r="W23" t="str">
            <v>Water</v>
          </cell>
          <cell r="X23" t="str">
            <v>Water</v>
          </cell>
          <cell r="Y23" t="str">
            <v>Water</v>
          </cell>
          <cell r="Z23" t="str">
            <v>Water</v>
          </cell>
          <cell r="AA23" t="str">
            <v>Grass</v>
          </cell>
          <cell r="AB23" t="str">
            <v>Grass</v>
          </cell>
          <cell r="AC23" t="str">
            <v>Grass</v>
          </cell>
          <cell r="AD23" t="str">
            <v>Grass</v>
          </cell>
          <cell r="AE23" t="str">
            <v>Grass</v>
          </cell>
          <cell r="AF23" t="str">
            <v>Rock</v>
          </cell>
          <cell r="AG23" t="str">
            <v>Rock</v>
          </cell>
          <cell r="AH23" t="str">
            <v>Rock</v>
          </cell>
          <cell r="AI23" t="str">
            <v>Rock</v>
          </cell>
          <cell r="AJ23" t="str">
            <v>Rock</v>
          </cell>
          <cell r="AK23" t="str">
            <v>Snow</v>
          </cell>
          <cell r="AL23" t="str">
            <v>Snow</v>
          </cell>
          <cell r="AM23" t="str">
            <v>Snow</v>
          </cell>
          <cell r="AN23" t="str">
            <v>Snow</v>
          </cell>
          <cell r="AO23" t="str">
            <v>Snow</v>
          </cell>
          <cell r="AP23" t="str">
            <v>Snow</v>
          </cell>
          <cell r="AQ23" t="str">
            <v>Rock</v>
          </cell>
          <cell r="AR23" t="str">
            <v>Rock</v>
          </cell>
          <cell r="AS23" t="str">
            <v>Rock</v>
          </cell>
          <cell r="AT23" t="str">
            <v>Forest</v>
          </cell>
          <cell r="AU23" t="str">
            <v>Forest</v>
          </cell>
          <cell r="AV23" t="str">
            <v>Forest</v>
          </cell>
          <cell r="AW23" t="str">
            <v>Forest</v>
          </cell>
          <cell r="AX23" t="str">
            <v>Forest</v>
          </cell>
          <cell r="AY23" t="str">
            <v>Forest</v>
          </cell>
        </row>
        <row r="24">
          <cell r="A24">
            <v>24</v>
          </cell>
          <cell r="B24" t="str">
            <v>Grass</v>
          </cell>
          <cell r="C24" t="str">
            <v>Grass</v>
          </cell>
          <cell r="D24" t="str">
            <v>Grass</v>
          </cell>
          <cell r="E24" t="str">
            <v>Rock</v>
          </cell>
          <cell r="F24" t="str">
            <v>Rock</v>
          </cell>
          <cell r="G24" t="str">
            <v>Rock</v>
          </cell>
          <cell r="H24" t="str">
            <v>Snow</v>
          </cell>
          <cell r="I24" t="str">
            <v>Snow</v>
          </cell>
          <cell r="J24" t="str">
            <v>Snow</v>
          </cell>
          <cell r="K24" t="str">
            <v>Snow</v>
          </cell>
          <cell r="L24" t="str">
            <v>Rock</v>
          </cell>
          <cell r="M24" t="str">
            <v>Rock</v>
          </cell>
          <cell r="N24" t="str">
            <v>Rock</v>
          </cell>
          <cell r="O24" t="str">
            <v>Rock</v>
          </cell>
          <cell r="P24" t="str">
            <v>Rock</v>
          </cell>
          <cell r="Q24" t="str">
            <v>Rock</v>
          </cell>
          <cell r="R24" t="str">
            <v>Grass</v>
          </cell>
          <cell r="S24" t="str">
            <v>Grass</v>
          </cell>
          <cell r="T24" t="str">
            <v>Grass</v>
          </cell>
          <cell r="U24" t="str">
            <v>Grass</v>
          </cell>
          <cell r="V24" t="str">
            <v>Grass</v>
          </cell>
          <cell r="W24" t="str">
            <v>Water</v>
          </cell>
          <cell r="X24" t="str">
            <v>Water</v>
          </cell>
          <cell r="Y24" t="str">
            <v>Water</v>
          </cell>
          <cell r="Z24" t="str">
            <v>Grass</v>
          </cell>
          <cell r="AA24" t="str">
            <v>Grass</v>
          </cell>
          <cell r="AB24" t="str">
            <v>Grass</v>
          </cell>
          <cell r="AC24" t="str">
            <v>Grass</v>
          </cell>
          <cell r="AD24" t="str">
            <v>Grass</v>
          </cell>
          <cell r="AE24" t="str">
            <v>Grass</v>
          </cell>
          <cell r="AF24" t="str">
            <v>Grass</v>
          </cell>
          <cell r="AG24" t="str">
            <v>Rock</v>
          </cell>
          <cell r="AH24" t="str">
            <v>Rock</v>
          </cell>
          <cell r="AI24" t="str">
            <v>Rock</v>
          </cell>
          <cell r="AJ24" t="str">
            <v>Rock</v>
          </cell>
          <cell r="AK24" t="str">
            <v>Snow</v>
          </cell>
          <cell r="AL24" t="str">
            <v>Snow</v>
          </cell>
          <cell r="AM24" t="str">
            <v>Snow</v>
          </cell>
          <cell r="AN24" t="str">
            <v>Snow</v>
          </cell>
          <cell r="AO24" t="str">
            <v>Rock</v>
          </cell>
          <cell r="AP24" t="str">
            <v>Rock</v>
          </cell>
          <cell r="AQ24" t="str">
            <v>Rock</v>
          </cell>
          <cell r="AR24" t="str">
            <v>Rock</v>
          </cell>
          <cell r="AS24" t="str">
            <v>Rock</v>
          </cell>
          <cell r="AT24" t="str">
            <v>Rock</v>
          </cell>
          <cell r="AU24" t="str">
            <v>Forest</v>
          </cell>
          <cell r="AV24" t="str">
            <v>Forest</v>
          </cell>
          <cell r="AW24" t="str">
            <v>Forest</v>
          </cell>
          <cell r="AX24" t="str">
            <v>Forest</v>
          </cell>
          <cell r="AY24" t="str">
            <v>Forest</v>
          </cell>
        </row>
        <row r="25">
          <cell r="A25">
            <v>25</v>
          </cell>
          <cell r="B25" t="str">
            <v>Grass</v>
          </cell>
          <cell r="C25" t="str">
            <v>Grass</v>
          </cell>
          <cell r="D25" t="str">
            <v>Grass</v>
          </cell>
          <cell r="E25" t="str">
            <v>Rock</v>
          </cell>
          <cell r="F25" t="str">
            <v>Rock</v>
          </cell>
          <cell r="G25" t="str">
            <v>Rock</v>
          </cell>
          <cell r="H25" t="str">
            <v>Rock</v>
          </cell>
          <cell r="I25" t="str">
            <v>Snow</v>
          </cell>
          <cell r="J25" t="str">
            <v>Snow</v>
          </cell>
          <cell r="K25" t="str">
            <v>Rock</v>
          </cell>
          <cell r="L25" t="str">
            <v>Rock</v>
          </cell>
          <cell r="M25" t="str">
            <v>Rock</v>
          </cell>
          <cell r="N25" t="str">
            <v>Rock</v>
          </cell>
          <cell r="O25" t="str">
            <v>Rock</v>
          </cell>
          <cell r="P25" t="str">
            <v>Rock</v>
          </cell>
          <cell r="Q25" t="str">
            <v>Grass</v>
          </cell>
          <cell r="R25" t="str">
            <v>Grass</v>
          </cell>
          <cell r="S25" t="str">
            <v>Forest</v>
          </cell>
          <cell r="T25" t="str">
            <v>Forest</v>
          </cell>
          <cell r="U25" t="str">
            <v>Forest</v>
          </cell>
          <cell r="V25" t="str">
            <v>Forest</v>
          </cell>
          <cell r="W25" t="str">
            <v>Water</v>
          </cell>
          <cell r="X25" t="str">
            <v>Water</v>
          </cell>
          <cell r="Y25" t="str">
            <v>Water</v>
          </cell>
          <cell r="Z25" t="str">
            <v>Grass</v>
          </cell>
          <cell r="AA25" t="str">
            <v>Grass</v>
          </cell>
          <cell r="AB25" t="str">
            <v>Grass</v>
          </cell>
          <cell r="AC25" t="str">
            <v>Grass</v>
          </cell>
          <cell r="AD25" t="str">
            <v>Grass</v>
          </cell>
          <cell r="AE25" t="str">
            <v>Grass</v>
          </cell>
          <cell r="AF25" t="str">
            <v>Grass</v>
          </cell>
          <cell r="AG25" t="str">
            <v>Rock</v>
          </cell>
          <cell r="AH25" t="str">
            <v>Rock</v>
          </cell>
          <cell r="AI25" t="str">
            <v>Rock</v>
          </cell>
          <cell r="AJ25" t="str">
            <v>Rock</v>
          </cell>
          <cell r="AK25" t="str">
            <v>Rock</v>
          </cell>
          <cell r="AL25" t="str">
            <v>Rock</v>
          </cell>
          <cell r="AM25" t="str">
            <v>Rock</v>
          </cell>
          <cell r="AN25" t="str">
            <v>Rock</v>
          </cell>
          <cell r="AO25" t="str">
            <v>Rock</v>
          </cell>
          <cell r="AP25" t="str">
            <v>Rock</v>
          </cell>
          <cell r="AQ25" t="str">
            <v>Rock</v>
          </cell>
          <cell r="AR25" t="str">
            <v>Rock</v>
          </cell>
          <cell r="AS25" t="str">
            <v>Rock</v>
          </cell>
          <cell r="AT25" t="str">
            <v>Rock</v>
          </cell>
          <cell r="AU25" t="str">
            <v>Forest</v>
          </cell>
          <cell r="AV25" t="str">
            <v>Forest</v>
          </cell>
          <cell r="AW25" t="str">
            <v>Forest</v>
          </cell>
          <cell r="AX25" t="str">
            <v>Forest</v>
          </cell>
          <cell r="AY25" t="str">
            <v>Forest</v>
          </cell>
        </row>
        <row r="26">
          <cell r="A26">
            <v>26</v>
          </cell>
          <cell r="B26" t="str">
            <v>Grass</v>
          </cell>
          <cell r="C26" t="str">
            <v>Grass</v>
          </cell>
          <cell r="D26" t="str">
            <v>Grass</v>
          </cell>
          <cell r="E26" t="str">
            <v>Rock</v>
          </cell>
          <cell r="F26" t="str">
            <v>Rock</v>
          </cell>
          <cell r="G26" t="str">
            <v>Rock</v>
          </cell>
          <cell r="H26" t="str">
            <v>Rock</v>
          </cell>
          <cell r="I26" t="str">
            <v>Rock</v>
          </cell>
          <cell r="J26" t="str">
            <v>Rock</v>
          </cell>
          <cell r="K26" t="str">
            <v>Rock</v>
          </cell>
          <cell r="L26" t="str">
            <v>Rock</v>
          </cell>
          <cell r="M26" t="str">
            <v>Rock</v>
          </cell>
          <cell r="N26" t="str">
            <v>Rock</v>
          </cell>
          <cell r="O26" t="str">
            <v>Rock</v>
          </cell>
          <cell r="P26" t="str">
            <v>Rock</v>
          </cell>
          <cell r="Q26" t="str">
            <v>Grass</v>
          </cell>
          <cell r="R26" t="str">
            <v>Grass</v>
          </cell>
          <cell r="S26" t="str">
            <v>Forest</v>
          </cell>
          <cell r="T26" t="str">
            <v>Forest</v>
          </cell>
          <cell r="U26" t="str">
            <v>Forest</v>
          </cell>
          <cell r="V26" t="str">
            <v>Forest</v>
          </cell>
          <cell r="W26" t="str">
            <v>Water</v>
          </cell>
          <cell r="X26" t="str">
            <v>Water</v>
          </cell>
          <cell r="Y26" t="str">
            <v>Water</v>
          </cell>
          <cell r="Z26" t="str">
            <v>Grass</v>
          </cell>
          <cell r="AA26" t="str">
            <v>Grass</v>
          </cell>
          <cell r="AB26" t="str">
            <v>Grass</v>
          </cell>
          <cell r="AC26" t="str">
            <v>Grass</v>
          </cell>
          <cell r="AD26" t="str">
            <v>Grass</v>
          </cell>
          <cell r="AE26" t="str">
            <v>Grass</v>
          </cell>
          <cell r="AF26" t="str">
            <v>Grass</v>
          </cell>
          <cell r="AG26" t="str">
            <v>Grass</v>
          </cell>
          <cell r="AH26" t="str">
            <v>Rock</v>
          </cell>
          <cell r="AI26" t="str">
            <v>Rock</v>
          </cell>
          <cell r="AJ26" t="str">
            <v>Rock</v>
          </cell>
          <cell r="AK26" t="str">
            <v>Rock</v>
          </cell>
          <cell r="AL26" t="str">
            <v>Rock</v>
          </cell>
          <cell r="AM26" t="str">
            <v>Rock</v>
          </cell>
          <cell r="AN26" t="str">
            <v>Rock</v>
          </cell>
          <cell r="AO26" t="str">
            <v>Rock</v>
          </cell>
          <cell r="AP26" t="str">
            <v>Rock</v>
          </cell>
          <cell r="AQ26" t="str">
            <v>Rock</v>
          </cell>
          <cell r="AR26" t="str">
            <v>Rock</v>
          </cell>
          <cell r="AS26" t="str">
            <v>Rock</v>
          </cell>
          <cell r="AT26" t="str">
            <v>Grass</v>
          </cell>
          <cell r="AU26" t="str">
            <v>Forest</v>
          </cell>
          <cell r="AV26" t="str">
            <v>Forest</v>
          </cell>
          <cell r="AW26" t="str">
            <v>Forest</v>
          </cell>
          <cell r="AX26" t="str">
            <v>Water</v>
          </cell>
          <cell r="AY26" t="str">
            <v>Water</v>
          </cell>
        </row>
        <row r="27">
          <cell r="A27">
            <v>27</v>
          </cell>
          <cell r="B27" t="str">
            <v>Grass</v>
          </cell>
          <cell r="C27" t="str">
            <v>Grass</v>
          </cell>
          <cell r="D27" t="str">
            <v>Grass</v>
          </cell>
          <cell r="E27" t="str">
            <v>Grass</v>
          </cell>
          <cell r="F27" t="str">
            <v>Rock</v>
          </cell>
          <cell r="G27" t="str">
            <v>Rock</v>
          </cell>
          <cell r="H27" t="str">
            <v>Rock</v>
          </cell>
          <cell r="I27" t="str">
            <v>Rock</v>
          </cell>
          <cell r="J27" t="str">
            <v>Rock</v>
          </cell>
          <cell r="K27" t="str">
            <v>Rock</v>
          </cell>
          <cell r="L27" t="str">
            <v>Rock</v>
          </cell>
          <cell r="M27" t="str">
            <v>Rock</v>
          </cell>
          <cell r="N27" t="str">
            <v>Rock</v>
          </cell>
          <cell r="O27" t="str">
            <v>Rock</v>
          </cell>
          <cell r="P27" t="str">
            <v>Rock</v>
          </cell>
          <cell r="Q27" t="str">
            <v>Grass</v>
          </cell>
          <cell r="R27" t="str">
            <v>Grass</v>
          </cell>
          <cell r="S27" t="str">
            <v>Forest</v>
          </cell>
          <cell r="T27" t="str">
            <v>Forest</v>
          </cell>
          <cell r="U27" t="str">
            <v>Forest</v>
          </cell>
          <cell r="V27" t="str">
            <v>Forest</v>
          </cell>
          <cell r="W27" t="str">
            <v>Grass</v>
          </cell>
          <cell r="X27" t="str">
            <v>Water</v>
          </cell>
          <cell r="Y27" t="str">
            <v>Water</v>
          </cell>
          <cell r="Z27" t="str">
            <v>Grass</v>
          </cell>
          <cell r="AA27" t="str">
            <v>Grass</v>
          </cell>
          <cell r="AB27" t="str">
            <v>Grass</v>
          </cell>
          <cell r="AC27" t="str">
            <v>Grass</v>
          </cell>
          <cell r="AD27" t="str">
            <v>Grass</v>
          </cell>
          <cell r="AE27" t="str">
            <v>Grass</v>
          </cell>
          <cell r="AF27" t="str">
            <v>Grass</v>
          </cell>
          <cell r="AG27" t="str">
            <v>Grass</v>
          </cell>
          <cell r="AH27" t="str">
            <v>Grass</v>
          </cell>
          <cell r="AI27" t="str">
            <v>Grass</v>
          </cell>
          <cell r="AJ27" t="str">
            <v>Rock</v>
          </cell>
          <cell r="AK27" t="str">
            <v>Rock</v>
          </cell>
          <cell r="AL27" t="str">
            <v>Rock</v>
          </cell>
          <cell r="AM27" t="str">
            <v>Rock</v>
          </cell>
          <cell r="AN27" t="str">
            <v>Rock</v>
          </cell>
          <cell r="AO27" t="str">
            <v>Rock</v>
          </cell>
          <cell r="AP27" t="str">
            <v>Grass</v>
          </cell>
          <cell r="AQ27" t="str">
            <v>Grass</v>
          </cell>
          <cell r="AR27" t="str">
            <v>Grass</v>
          </cell>
          <cell r="AS27" t="str">
            <v>Grass</v>
          </cell>
          <cell r="AT27" t="str">
            <v>Grass</v>
          </cell>
          <cell r="AU27" t="str">
            <v>Grass</v>
          </cell>
          <cell r="AV27" t="str">
            <v>Grass</v>
          </cell>
          <cell r="AW27" t="str">
            <v>Water</v>
          </cell>
          <cell r="AX27" t="str">
            <v>Water</v>
          </cell>
          <cell r="AY27" t="str">
            <v>Water</v>
          </cell>
        </row>
        <row r="28">
          <cell r="A28">
            <v>28</v>
          </cell>
          <cell r="B28" t="str">
            <v>Grass</v>
          </cell>
          <cell r="C28" t="str">
            <v>Grass</v>
          </cell>
          <cell r="D28" t="str">
            <v>Grass</v>
          </cell>
          <cell r="E28" t="str">
            <v>Grass</v>
          </cell>
          <cell r="F28" t="str">
            <v>Grass</v>
          </cell>
          <cell r="G28" t="str">
            <v>Grass</v>
          </cell>
          <cell r="H28" t="str">
            <v>Rock</v>
          </cell>
          <cell r="I28" t="str">
            <v>Rock</v>
          </cell>
          <cell r="J28" t="str">
            <v>Rock</v>
          </cell>
          <cell r="K28" t="str">
            <v>Rock</v>
          </cell>
          <cell r="L28" t="str">
            <v>Rock</v>
          </cell>
          <cell r="M28" t="str">
            <v>Rock</v>
          </cell>
          <cell r="N28" t="str">
            <v>Rock</v>
          </cell>
          <cell r="O28" t="str">
            <v>Rock</v>
          </cell>
          <cell r="P28" t="str">
            <v>Grass</v>
          </cell>
          <cell r="Q28" t="str">
            <v>Grass</v>
          </cell>
          <cell r="R28" t="str">
            <v>Grass</v>
          </cell>
          <cell r="S28" t="str">
            <v>Forest</v>
          </cell>
          <cell r="T28" t="str">
            <v>Forest</v>
          </cell>
          <cell r="U28" t="str">
            <v>Forest</v>
          </cell>
          <cell r="V28" t="str">
            <v>Forest</v>
          </cell>
          <cell r="W28" t="str">
            <v>Grass</v>
          </cell>
          <cell r="X28" t="str">
            <v>Water</v>
          </cell>
          <cell r="Y28" t="str">
            <v>Water</v>
          </cell>
          <cell r="Z28" t="str">
            <v>Water</v>
          </cell>
          <cell r="AA28" t="str">
            <v>Grass</v>
          </cell>
          <cell r="AB28" t="str">
            <v>Grass</v>
          </cell>
          <cell r="AC28" t="str">
            <v>Grass</v>
          </cell>
          <cell r="AD28" t="str">
            <v>Grass</v>
          </cell>
          <cell r="AE28" t="str">
            <v>Grass</v>
          </cell>
          <cell r="AF28" t="str">
            <v>Grass</v>
          </cell>
          <cell r="AG28" t="str">
            <v>Grass</v>
          </cell>
          <cell r="AH28" t="str">
            <v>Grass</v>
          </cell>
          <cell r="AI28" t="str">
            <v>Grass</v>
          </cell>
          <cell r="AJ28" t="str">
            <v>Grass</v>
          </cell>
          <cell r="AK28" t="str">
            <v>Grass</v>
          </cell>
          <cell r="AL28" t="str">
            <v>Grass</v>
          </cell>
          <cell r="AM28" t="str">
            <v>Grass</v>
          </cell>
          <cell r="AN28" t="str">
            <v>Grass</v>
          </cell>
          <cell r="AO28" t="str">
            <v>Grass</v>
          </cell>
          <cell r="AP28" t="str">
            <v>Grass</v>
          </cell>
          <cell r="AQ28" t="str">
            <v>Grass</v>
          </cell>
          <cell r="AR28" t="str">
            <v>Grass</v>
          </cell>
          <cell r="AS28" t="str">
            <v>Grass</v>
          </cell>
          <cell r="AT28" t="str">
            <v>Grass</v>
          </cell>
          <cell r="AU28" t="str">
            <v>Grass</v>
          </cell>
          <cell r="AV28" t="str">
            <v>Water</v>
          </cell>
          <cell r="AW28" t="str">
            <v>Water</v>
          </cell>
          <cell r="AX28" t="str">
            <v>Grass</v>
          </cell>
          <cell r="AY28" t="str">
            <v>Grass</v>
          </cell>
        </row>
        <row r="29">
          <cell r="A29">
            <v>29</v>
          </cell>
          <cell r="B29" t="str">
            <v>Grass</v>
          </cell>
          <cell r="C29" t="str">
            <v>Grass</v>
          </cell>
          <cell r="D29" t="str">
            <v>Grass</v>
          </cell>
          <cell r="E29" t="str">
            <v>Grass</v>
          </cell>
          <cell r="F29" t="str">
            <v>Grass</v>
          </cell>
          <cell r="G29" t="str">
            <v>Grass</v>
          </cell>
          <cell r="H29" t="str">
            <v>Grass</v>
          </cell>
          <cell r="I29" t="str">
            <v>Grass</v>
          </cell>
          <cell r="J29" t="str">
            <v>Rock</v>
          </cell>
          <cell r="K29" t="str">
            <v>Rock</v>
          </cell>
          <cell r="L29" t="str">
            <v>Rock</v>
          </cell>
          <cell r="M29" t="str">
            <v>Grass</v>
          </cell>
          <cell r="N29" t="str">
            <v>Grass</v>
          </cell>
          <cell r="O29" t="str">
            <v>Grass</v>
          </cell>
          <cell r="P29" t="str">
            <v>Grass</v>
          </cell>
          <cell r="Q29" t="str">
            <v>Grass</v>
          </cell>
          <cell r="R29" t="str">
            <v>Grass</v>
          </cell>
          <cell r="S29" t="str">
            <v>Forest</v>
          </cell>
          <cell r="T29" t="str">
            <v>Forest</v>
          </cell>
          <cell r="U29" t="str">
            <v>Forest</v>
          </cell>
          <cell r="V29" t="str">
            <v>Forest</v>
          </cell>
          <cell r="W29" t="str">
            <v>Grass</v>
          </cell>
          <cell r="X29" t="str">
            <v>Grass</v>
          </cell>
          <cell r="Y29" t="str">
            <v>Water</v>
          </cell>
          <cell r="Z29" t="str">
            <v>Water</v>
          </cell>
          <cell r="AA29" t="str">
            <v>Grass</v>
          </cell>
          <cell r="AB29" t="str">
            <v>Grass</v>
          </cell>
          <cell r="AC29" t="str">
            <v>Grass</v>
          </cell>
          <cell r="AD29" t="str">
            <v>Grass</v>
          </cell>
          <cell r="AE29" t="str">
            <v>Grass</v>
          </cell>
          <cell r="AF29" t="str">
            <v>Grass</v>
          </cell>
          <cell r="AG29" t="str">
            <v>Grass</v>
          </cell>
          <cell r="AH29" t="str">
            <v>Grass</v>
          </cell>
          <cell r="AI29" t="str">
            <v>Grass</v>
          </cell>
          <cell r="AJ29" t="str">
            <v>Grass</v>
          </cell>
          <cell r="AK29" t="str">
            <v>Grass</v>
          </cell>
          <cell r="AL29" t="str">
            <v>Grass</v>
          </cell>
          <cell r="AM29" t="str">
            <v>Grass</v>
          </cell>
          <cell r="AN29" t="str">
            <v>Grass</v>
          </cell>
          <cell r="AO29" t="str">
            <v>Grass</v>
          </cell>
          <cell r="AP29" t="str">
            <v>Grass</v>
          </cell>
          <cell r="AQ29" t="str">
            <v>Grass</v>
          </cell>
          <cell r="AR29" t="str">
            <v>Grass</v>
          </cell>
          <cell r="AS29" t="str">
            <v>Grass</v>
          </cell>
          <cell r="AT29" t="str">
            <v>Grass</v>
          </cell>
          <cell r="AU29" t="str">
            <v>Water</v>
          </cell>
          <cell r="AV29" t="str">
            <v>Water</v>
          </cell>
          <cell r="AW29" t="str">
            <v>Water</v>
          </cell>
          <cell r="AX29" t="str">
            <v>Grass</v>
          </cell>
          <cell r="AY29" t="str">
            <v>Grass</v>
          </cell>
        </row>
        <row r="30">
          <cell r="A30">
            <v>30</v>
          </cell>
          <cell r="B30" t="str">
            <v>Grass</v>
          </cell>
          <cell r="C30" t="str">
            <v>Grass</v>
          </cell>
          <cell r="D30" t="str">
            <v>Grass</v>
          </cell>
          <cell r="E30" t="str">
            <v>Grass</v>
          </cell>
          <cell r="F30" t="str">
            <v>Grass</v>
          </cell>
          <cell r="G30" t="str">
            <v>Grass</v>
          </cell>
          <cell r="H30" t="str">
            <v>Grass</v>
          </cell>
          <cell r="I30" t="str">
            <v>Grass</v>
          </cell>
          <cell r="J30" t="str">
            <v>Grass</v>
          </cell>
          <cell r="K30" t="str">
            <v>Grass</v>
          </cell>
          <cell r="L30" t="str">
            <v>Grass</v>
          </cell>
          <cell r="M30" t="str">
            <v>Grass</v>
          </cell>
          <cell r="N30" t="str">
            <v>Grass</v>
          </cell>
          <cell r="O30" t="str">
            <v>Grass</v>
          </cell>
          <cell r="P30" t="str">
            <v>Grass</v>
          </cell>
          <cell r="Q30" t="str">
            <v>Grass</v>
          </cell>
          <cell r="R30" t="str">
            <v>Grass</v>
          </cell>
          <cell r="S30" t="str">
            <v>Forest</v>
          </cell>
          <cell r="T30" t="str">
            <v>Forest</v>
          </cell>
          <cell r="U30" t="str">
            <v>Forest</v>
          </cell>
          <cell r="V30" t="str">
            <v>Forest</v>
          </cell>
          <cell r="W30" t="str">
            <v>Grass</v>
          </cell>
          <cell r="X30" t="str">
            <v>Grass</v>
          </cell>
          <cell r="Y30" t="str">
            <v>Water</v>
          </cell>
          <cell r="Z30" t="str">
            <v>Water</v>
          </cell>
          <cell r="AA30" t="str">
            <v>Water</v>
          </cell>
          <cell r="AB30" t="str">
            <v>Grass</v>
          </cell>
          <cell r="AC30" t="str">
            <v>Grass</v>
          </cell>
          <cell r="AD30" t="str">
            <v>Grass</v>
          </cell>
          <cell r="AE30" t="str">
            <v>Grass</v>
          </cell>
          <cell r="AF30" t="str">
            <v>Grass</v>
          </cell>
          <cell r="AG30" t="str">
            <v>Grass</v>
          </cell>
          <cell r="AH30" t="str">
            <v>Grass</v>
          </cell>
          <cell r="AI30" t="str">
            <v>Grass</v>
          </cell>
          <cell r="AJ30" t="str">
            <v>Grass</v>
          </cell>
          <cell r="AK30" t="str">
            <v>Grass</v>
          </cell>
          <cell r="AL30" t="str">
            <v>Grass</v>
          </cell>
          <cell r="AM30" t="str">
            <v>Grass</v>
          </cell>
          <cell r="AN30" t="str">
            <v>Grass</v>
          </cell>
          <cell r="AO30" t="str">
            <v>Grass</v>
          </cell>
          <cell r="AP30" t="str">
            <v>Grass</v>
          </cell>
          <cell r="AQ30" t="str">
            <v>Grass</v>
          </cell>
          <cell r="AR30" t="str">
            <v>Grass</v>
          </cell>
          <cell r="AS30" t="str">
            <v>Grass</v>
          </cell>
          <cell r="AT30" t="str">
            <v>Grass</v>
          </cell>
          <cell r="AU30" t="str">
            <v>Water</v>
          </cell>
          <cell r="AV30" t="str">
            <v>Water</v>
          </cell>
          <cell r="AW30" t="str">
            <v>Grass</v>
          </cell>
          <cell r="AX30" t="str">
            <v>Grass</v>
          </cell>
          <cell r="AY30" t="str">
            <v>Grass</v>
          </cell>
        </row>
        <row r="31">
          <cell r="A31">
            <v>31</v>
          </cell>
          <cell r="B31" t="str">
            <v>Grass</v>
          </cell>
          <cell r="C31" t="str">
            <v>Grass</v>
          </cell>
          <cell r="D31" t="str">
            <v>Water</v>
          </cell>
          <cell r="E31" t="str">
            <v>Water</v>
          </cell>
          <cell r="F31" t="str">
            <v>Water</v>
          </cell>
          <cell r="G31" t="str">
            <v>Water</v>
          </cell>
          <cell r="H31" t="str">
            <v>Water</v>
          </cell>
          <cell r="I31" t="str">
            <v>Water</v>
          </cell>
          <cell r="J31" t="str">
            <v>Water</v>
          </cell>
          <cell r="K31" t="str">
            <v>Grass</v>
          </cell>
          <cell r="L31" t="str">
            <v>Grass</v>
          </cell>
          <cell r="M31" t="str">
            <v>Grass</v>
          </cell>
          <cell r="N31" t="str">
            <v>Grass</v>
          </cell>
          <cell r="O31" t="str">
            <v>Grass</v>
          </cell>
          <cell r="P31" t="str">
            <v>Grass</v>
          </cell>
          <cell r="Q31" t="str">
            <v>Grass</v>
          </cell>
          <cell r="R31" t="str">
            <v>Grass</v>
          </cell>
          <cell r="S31" t="str">
            <v>Forest</v>
          </cell>
          <cell r="T31" t="str">
            <v>Forest</v>
          </cell>
          <cell r="U31" t="str">
            <v>Forest</v>
          </cell>
          <cell r="V31" t="str">
            <v>Forest</v>
          </cell>
          <cell r="W31" t="str">
            <v>Grass</v>
          </cell>
          <cell r="X31" t="str">
            <v>Grass</v>
          </cell>
          <cell r="Y31" t="str">
            <v>Grass</v>
          </cell>
          <cell r="Z31" t="str">
            <v>Water</v>
          </cell>
          <cell r="AA31" t="str">
            <v>Water</v>
          </cell>
          <cell r="AB31" t="str">
            <v>Water</v>
          </cell>
          <cell r="AC31" t="str">
            <v>Water</v>
          </cell>
          <cell r="AD31" t="str">
            <v>Water</v>
          </cell>
          <cell r="AE31" t="str">
            <v>Water</v>
          </cell>
          <cell r="AF31" t="str">
            <v>Water</v>
          </cell>
          <cell r="AG31" t="str">
            <v>Grass</v>
          </cell>
          <cell r="AH31" t="str">
            <v>Grass</v>
          </cell>
          <cell r="AI31" t="str">
            <v>Grass</v>
          </cell>
          <cell r="AJ31" t="str">
            <v>Grass</v>
          </cell>
          <cell r="AK31" t="str">
            <v>Grass</v>
          </cell>
          <cell r="AL31" t="str">
            <v>Water</v>
          </cell>
          <cell r="AM31" t="str">
            <v>Water</v>
          </cell>
          <cell r="AN31" t="str">
            <v>Water</v>
          </cell>
          <cell r="AO31" t="str">
            <v>Water</v>
          </cell>
          <cell r="AP31" t="str">
            <v>Water</v>
          </cell>
          <cell r="AQ31" t="str">
            <v>Grass</v>
          </cell>
          <cell r="AR31" t="str">
            <v>Grass</v>
          </cell>
          <cell r="AS31" t="str">
            <v>Grass</v>
          </cell>
          <cell r="AT31" t="str">
            <v>Grass</v>
          </cell>
          <cell r="AU31" t="str">
            <v>Water</v>
          </cell>
          <cell r="AV31" t="str">
            <v>Water</v>
          </cell>
          <cell r="AW31" t="str">
            <v>Grass</v>
          </cell>
          <cell r="AX31" t="str">
            <v>Grass</v>
          </cell>
          <cell r="AY31" t="str">
            <v>Grass</v>
          </cell>
        </row>
        <row r="32">
          <cell r="A32">
            <v>32</v>
          </cell>
          <cell r="B32" t="str">
            <v>Forest</v>
          </cell>
          <cell r="C32" t="str">
            <v>Forest</v>
          </cell>
          <cell r="D32" t="str">
            <v>Water</v>
          </cell>
          <cell r="E32" t="str">
            <v>Water</v>
          </cell>
          <cell r="F32" t="str">
            <v>Water</v>
          </cell>
          <cell r="G32" t="str">
            <v>Water</v>
          </cell>
          <cell r="H32" t="str">
            <v>Water</v>
          </cell>
          <cell r="I32" t="str">
            <v>Water</v>
          </cell>
          <cell r="J32" t="str">
            <v>Water</v>
          </cell>
          <cell r="K32" t="str">
            <v>Forest</v>
          </cell>
          <cell r="L32" t="str">
            <v>Forest</v>
          </cell>
          <cell r="M32" t="str">
            <v>Forest</v>
          </cell>
          <cell r="N32" t="str">
            <v>Forest</v>
          </cell>
          <cell r="O32" t="str">
            <v>Forest</v>
          </cell>
          <cell r="P32" t="str">
            <v>Forest</v>
          </cell>
          <cell r="Q32" t="str">
            <v>Forest</v>
          </cell>
          <cell r="R32" t="str">
            <v>Forest</v>
          </cell>
          <cell r="S32" t="str">
            <v>Forest</v>
          </cell>
          <cell r="T32" t="str">
            <v>Forest</v>
          </cell>
          <cell r="U32" t="str">
            <v>Forest</v>
          </cell>
          <cell r="V32" t="str">
            <v>Forest</v>
          </cell>
          <cell r="W32" t="str">
            <v>Grass</v>
          </cell>
          <cell r="X32" t="str">
            <v>Grass</v>
          </cell>
          <cell r="Y32" t="str">
            <v>Grass</v>
          </cell>
          <cell r="Z32" t="str">
            <v>Grass</v>
          </cell>
          <cell r="AA32" t="str">
            <v>Water</v>
          </cell>
          <cell r="AB32" t="str">
            <v>Water</v>
          </cell>
          <cell r="AC32" t="str">
            <v>Water</v>
          </cell>
          <cell r="AD32" t="str">
            <v>Water</v>
          </cell>
          <cell r="AE32" t="str">
            <v>Water</v>
          </cell>
          <cell r="AF32" t="str">
            <v>Water</v>
          </cell>
          <cell r="AG32" t="str">
            <v>Water</v>
          </cell>
          <cell r="AH32" t="str">
            <v>Water</v>
          </cell>
          <cell r="AI32" t="str">
            <v>Water</v>
          </cell>
          <cell r="AJ32" t="str">
            <v>Water</v>
          </cell>
          <cell r="AK32" t="str">
            <v>Water</v>
          </cell>
          <cell r="AL32" t="str">
            <v>Water</v>
          </cell>
          <cell r="AM32" t="str">
            <v>Water</v>
          </cell>
          <cell r="AN32" t="str">
            <v>Water</v>
          </cell>
          <cell r="AO32" t="str">
            <v>Water</v>
          </cell>
          <cell r="AP32" t="str">
            <v>Water</v>
          </cell>
          <cell r="AQ32" t="str">
            <v>Grass</v>
          </cell>
          <cell r="AR32" t="str">
            <v>Grass</v>
          </cell>
          <cell r="AS32" t="str">
            <v>Grass</v>
          </cell>
          <cell r="AT32" t="str">
            <v>Water</v>
          </cell>
          <cell r="AU32" t="str">
            <v>Water</v>
          </cell>
          <cell r="AV32" t="str">
            <v>Water</v>
          </cell>
          <cell r="AW32" t="str">
            <v>Grass</v>
          </cell>
          <cell r="AX32" t="str">
            <v>Grass</v>
          </cell>
          <cell r="AY32" t="str">
            <v>Grass</v>
          </cell>
        </row>
        <row r="33">
          <cell r="A33">
            <v>33</v>
          </cell>
          <cell r="B33" t="str">
            <v>Forest</v>
          </cell>
          <cell r="C33" t="str">
            <v>Forest</v>
          </cell>
          <cell r="D33" t="str">
            <v>Water</v>
          </cell>
          <cell r="E33" t="str">
            <v>Water</v>
          </cell>
          <cell r="F33" t="str">
            <v>Water</v>
          </cell>
          <cell r="G33" t="str">
            <v>Water</v>
          </cell>
          <cell r="H33" t="str">
            <v>Water</v>
          </cell>
          <cell r="I33" t="str">
            <v>Water</v>
          </cell>
          <cell r="J33" t="str">
            <v>Water</v>
          </cell>
          <cell r="K33" t="str">
            <v>Forest</v>
          </cell>
          <cell r="L33" t="str">
            <v>Forest</v>
          </cell>
          <cell r="M33" t="str">
            <v>Forest</v>
          </cell>
          <cell r="N33" t="str">
            <v>Forest</v>
          </cell>
          <cell r="O33" t="str">
            <v>Forest</v>
          </cell>
          <cell r="P33" t="str">
            <v>Forest</v>
          </cell>
          <cell r="Q33" t="str">
            <v>Forest</v>
          </cell>
          <cell r="R33" t="str">
            <v>Forest</v>
          </cell>
          <cell r="S33" t="str">
            <v>Forest</v>
          </cell>
          <cell r="T33" t="str">
            <v>Forest</v>
          </cell>
          <cell r="U33" t="str">
            <v>Grass</v>
          </cell>
          <cell r="V33" t="str">
            <v>Grass</v>
          </cell>
          <cell r="W33" t="str">
            <v>Grass</v>
          </cell>
          <cell r="X33" t="str">
            <v>Grass</v>
          </cell>
          <cell r="Y33" t="str">
            <v>Grass</v>
          </cell>
          <cell r="Z33" t="str">
            <v>Grass</v>
          </cell>
          <cell r="AA33" t="str">
            <v>Grass</v>
          </cell>
          <cell r="AB33" t="str">
            <v>Grass</v>
          </cell>
          <cell r="AC33" t="str">
            <v>Water</v>
          </cell>
          <cell r="AD33" t="str">
            <v>Water</v>
          </cell>
          <cell r="AE33" t="str">
            <v>Water</v>
          </cell>
          <cell r="AF33" t="str">
            <v>Water</v>
          </cell>
          <cell r="AG33" t="str">
            <v>Water</v>
          </cell>
          <cell r="AH33" t="str">
            <v>Water</v>
          </cell>
          <cell r="AI33" t="str">
            <v>Water</v>
          </cell>
          <cell r="AJ33" t="str">
            <v>Water</v>
          </cell>
          <cell r="AK33" t="str">
            <v>Water</v>
          </cell>
          <cell r="AL33" t="str">
            <v>Water</v>
          </cell>
          <cell r="AM33" t="str">
            <v>Water</v>
          </cell>
          <cell r="AN33" t="str">
            <v>Water</v>
          </cell>
          <cell r="AO33" t="str">
            <v>Water</v>
          </cell>
          <cell r="AP33" t="str">
            <v>Water</v>
          </cell>
          <cell r="AQ33" t="str">
            <v>Water</v>
          </cell>
          <cell r="AR33" t="str">
            <v>Water</v>
          </cell>
          <cell r="AS33" t="str">
            <v>Water</v>
          </cell>
          <cell r="AT33" t="str">
            <v>Water</v>
          </cell>
          <cell r="AU33" t="str">
            <v>Water</v>
          </cell>
          <cell r="AV33" t="str">
            <v>Grass</v>
          </cell>
          <cell r="AW33" t="str">
            <v>Grass</v>
          </cell>
          <cell r="AX33" t="str">
            <v>Grass</v>
          </cell>
          <cell r="AY33" t="str">
            <v>Grass</v>
          </cell>
        </row>
        <row r="34">
          <cell r="A34">
            <v>34</v>
          </cell>
          <cell r="B34" t="str">
            <v>Water</v>
          </cell>
          <cell r="C34" t="str">
            <v>Water</v>
          </cell>
          <cell r="D34" t="str">
            <v>Water</v>
          </cell>
          <cell r="E34" t="str">
            <v>Water</v>
          </cell>
          <cell r="F34" t="str">
            <v>Water</v>
          </cell>
          <cell r="G34" t="str">
            <v>Water</v>
          </cell>
          <cell r="H34" t="str">
            <v>Water</v>
          </cell>
          <cell r="I34" t="str">
            <v>Water</v>
          </cell>
          <cell r="J34" t="str">
            <v>Water</v>
          </cell>
          <cell r="K34" t="str">
            <v>Forest</v>
          </cell>
          <cell r="L34" t="str">
            <v>Forest</v>
          </cell>
          <cell r="M34" t="str">
            <v>Forest</v>
          </cell>
          <cell r="N34" t="str">
            <v>Forest</v>
          </cell>
          <cell r="O34" t="str">
            <v>Forest</v>
          </cell>
          <cell r="P34" t="str">
            <v>Forest</v>
          </cell>
          <cell r="Q34" t="str">
            <v>Forest</v>
          </cell>
          <cell r="R34" t="str">
            <v>Forest</v>
          </cell>
          <cell r="S34" t="str">
            <v>Forest</v>
          </cell>
          <cell r="T34" t="str">
            <v>Forest</v>
          </cell>
          <cell r="U34" t="str">
            <v>Forest</v>
          </cell>
          <cell r="V34" t="str">
            <v>Forest</v>
          </cell>
          <cell r="W34" t="str">
            <v>Forest</v>
          </cell>
          <cell r="X34" t="str">
            <v>Forest</v>
          </cell>
          <cell r="Y34" t="str">
            <v>Forest</v>
          </cell>
          <cell r="Z34" t="str">
            <v>Grass</v>
          </cell>
          <cell r="AA34" t="str">
            <v>Grass</v>
          </cell>
          <cell r="AB34" t="str">
            <v>Grass</v>
          </cell>
          <cell r="AC34" t="str">
            <v>Grass</v>
          </cell>
          <cell r="AD34" t="str">
            <v>Grass</v>
          </cell>
          <cell r="AE34" t="str">
            <v>Water</v>
          </cell>
          <cell r="AF34" t="str">
            <v>Water</v>
          </cell>
          <cell r="AG34" t="str">
            <v>Water</v>
          </cell>
          <cell r="AH34" t="str">
            <v>Water</v>
          </cell>
          <cell r="AI34" t="str">
            <v>Water</v>
          </cell>
          <cell r="AJ34" t="str">
            <v>Water</v>
          </cell>
          <cell r="AK34" t="str">
            <v>Water</v>
          </cell>
          <cell r="AL34" t="str">
            <v>Water</v>
          </cell>
          <cell r="AM34" t="str">
            <v>Grass</v>
          </cell>
          <cell r="AN34" t="str">
            <v>Grass</v>
          </cell>
          <cell r="AO34" t="str">
            <v>Grass</v>
          </cell>
          <cell r="AP34" t="str">
            <v>Water</v>
          </cell>
          <cell r="AQ34" t="str">
            <v>Water</v>
          </cell>
          <cell r="AR34" t="str">
            <v>Water</v>
          </cell>
          <cell r="AS34" t="str">
            <v>Water</v>
          </cell>
          <cell r="AT34" t="str">
            <v>Water</v>
          </cell>
          <cell r="AU34" t="str">
            <v>Grass</v>
          </cell>
          <cell r="AV34" t="str">
            <v>Grass</v>
          </cell>
          <cell r="AW34" t="str">
            <v>Grass</v>
          </cell>
          <cell r="AX34" t="str">
            <v>Grass</v>
          </cell>
          <cell r="AY34" t="str">
            <v>Grass</v>
          </cell>
        </row>
        <row r="35">
          <cell r="A35">
            <v>35</v>
          </cell>
          <cell r="B35" t="str">
            <v>Water</v>
          </cell>
          <cell r="C35" t="str">
            <v>Water</v>
          </cell>
          <cell r="D35" t="str">
            <v>Water</v>
          </cell>
          <cell r="E35" t="str">
            <v>Water</v>
          </cell>
          <cell r="F35" t="str">
            <v>Water</v>
          </cell>
          <cell r="G35" t="str">
            <v>Water</v>
          </cell>
          <cell r="H35" t="str">
            <v>Water</v>
          </cell>
          <cell r="I35" t="str">
            <v>Water</v>
          </cell>
          <cell r="J35" t="str">
            <v>Water</v>
          </cell>
          <cell r="K35" t="str">
            <v>Forest</v>
          </cell>
          <cell r="L35" t="str">
            <v>Forest</v>
          </cell>
          <cell r="M35" t="str">
            <v>Forest</v>
          </cell>
          <cell r="N35" t="str">
            <v>Forest</v>
          </cell>
          <cell r="O35" t="str">
            <v>Forest</v>
          </cell>
          <cell r="P35" t="str">
            <v>Forest</v>
          </cell>
          <cell r="Q35" t="str">
            <v>Forest</v>
          </cell>
          <cell r="R35" t="str">
            <v>Forest</v>
          </cell>
          <cell r="S35" t="str">
            <v>Forest</v>
          </cell>
          <cell r="T35" t="str">
            <v>Forest</v>
          </cell>
          <cell r="U35" t="str">
            <v>Forest</v>
          </cell>
          <cell r="V35" t="str">
            <v>Forest</v>
          </cell>
          <cell r="W35" t="str">
            <v>Forest</v>
          </cell>
          <cell r="X35" t="str">
            <v>Forest</v>
          </cell>
          <cell r="Y35" t="str">
            <v>Forest</v>
          </cell>
          <cell r="Z35" t="str">
            <v>Grass</v>
          </cell>
          <cell r="AA35" t="str">
            <v>Grass</v>
          </cell>
          <cell r="AB35" t="str">
            <v>Grass</v>
          </cell>
          <cell r="AC35" t="str">
            <v>Grass</v>
          </cell>
          <cell r="AD35" t="str">
            <v>Grass</v>
          </cell>
          <cell r="AE35" t="str">
            <v>Water</v>
          </cell>
          <cell r="AF35" t="str">
            <v>Water</v>
          </cell>
          <cell r="AG35" t="str">
            <v>Water</v>
          </cell>
          <cell r="AH35" t="str">
            <v>Water</v>
          </cell>
          <cell r="AI35" t="str">
            <v>Water</v>
          </cell>
          <cell r="AJ35" t="str">
            <v>Water</v>
          </cell>
          <cell r="AK35" t="str">
            <v>Water</v>
          </cell>
          <cell r="AL35" t="str">
            <v>Water</v>
          </cell>
          <cell r="AM35" t="str">
            <v>Grass</v>
          </cell>
          <cell r="AN35" t="str">
            <v>Grass</v>
          </cell>
          <cell r="AO35" t="str">
            <v>Grass</v>
          </cell>
          <cell r="AP35" t="str">
            <v>Grass</v>
          </cell>
          <cell r="AQ35" t="str">
            <v>Grass</v>
          </cell>
          <cell r="AR35" t="str">
            <v>Grass</v>
          </cell>
          <cell r="AS35" t="str">
            <v>Grass</v>
          </cell>
          <cell r="AT35" t="str">
            <v>Grass</v>
          </cell>
          <cell r="AU35" t="str">
            <v>Grass</v>
          </cell>
          <cell r="AV35" t="str">
            <v>Grass</v>
          </cell>
          <cell r="AW35" t="str">
            <v>Grass</v>
          </cell>
          <cell r="AX35" t="str">
            <v>Grass</v>
          </cell>
          <cell r="AY35" t="str">
            <v>Grass</v>
          </cell>
        </row>
        <row r="36">
          <cell r="A36">
            <v>36</v>
          </cell>
          <cell r="B36" t="str">
            <v>Water</v>
          </cell>
          <cell r="C36" t="str">
            <v>Water</v>
          </cell>
          <cell r="D36" t="str">
            <v>Water</v>
          </cell>
          <cell r="E36" t="str">
            <v>Water</v>
          </cell>
          <cell r="F36" t="str">
            <v>Water</v>
          </cell>
          <cell r="G36" t="str">
            <v>Water</v>
          </cell>
          <cell r="H36" t="str">
            <v>Water</v>
          </cell>
          <cell r="I36" t="str">
            <v>Water</v>
          </cell>
          <cell r="J36" t="str">
            <v>Water</v>
          </cell>
          <cell r="K36" t="str">
            <v>Forest</v>
          </cell>
          <cell r="L36" t="str">
            <v>Forest</v>
          </cell>
          <cell r="M36" t="str">
            <v>Forest</v>
          </cell>
          <cell r="N36" t="str">
            <v>Forest</v>
          </cell>
          <cell r="O36" t="str">
            <v>Forest</v>
          </cell>
          <cell r="P36" t="str">
            <v>Forest</v>
          </cell>
          <cell r="Q36" t="str">
            <v>Forest</v>
          </cell>
          <cell r="R36" t="str">
            <v>Forest</v>
          </cell>
          <cell r="S36" t="str">
            <v>Forest</v>
          </cell>
          <cell r="T36" t="str">
            <v>Forest</v>
          </cell>
          <cell r="U36" t="str">
            <v>Forest</v>
          </cell>
          <cell r="V36" t="str">
            <v>Forest</v>
          </cell>
          <cell r="W36" t="str">
            <v>Forest</v>
          </cell>
          <cell r="X36" t="str">
            <v>Forest</v>
          </cell>
          <cell r="Y36" t="str">
            <v>Forest</v>
          </cell>
          <cell r="Z36" t="str">
            <v>Grass</v>
          </cell>
          <cell r="AA36" t="str">
            <v>Grass</v>
          </cell>
          <cell r="AB36" t="str">
            <v>Grass</v>
          </cell>
          <cell r="AC36" t="str">
            <v>Grass</v>
          </cell>
          <cell r="AD36" t="str">
            <v>Grass</v>
          </cell>
          <cell r="AE36" t="str">
            <v>Grass</v>
          </cell>
          <cell r="AF36" t="str">
            <v>Grass</v>
          </cell>
          <cell r="AG36" t="str">
            <v>Grass</v>
          </cell>
          <cell r="AH36" t="str">
            <v>Grass</v>
          </cell>
          <cell r="AI36" t="str">
            <v>Grass</v>
          </cell>
          <cell r="AJ36" t="str">
            <v>Grass</v>
          </cell>
          <cell r="AK36" t="str">
            <v>Grass</v>
          </cell>
          <cell r="AL36" t="str">
            <v>Grass</v>
          </cell>
          <cell r="AM36" t="str">
            <v>Grass</v>
          </cell>
          <cell r="AN36" t="str">
            <v>Grass</v>
          </cell>
          <cell r="AO36" t="str">
            <v>Grass</v>
          </cell>
          <cell r="AP36" t="str">
            <v>Grass</v>
          </cell>
          <cell r="AQ36" t="str">
            <v>Grass</v>
          </cell>
          <cell r="AR36" t="str">
            <v>Grass</v>
          </cell>
          <cell r="AS36" t="str">
            <v>Grass</v>
          </cell>
          <cell r="AT36" t="str">
            <v>Grass</v>
          </cell>
          <cell r="AU36" t="str">
            <v>Grass</v>
          </cell>
          <cell r="AV36" t="str">
            <v>Grass</v>
          </cell>
          <cell r="AW36" t="str">
            <v>Grass</v>
          </cell>
          <cell r="AX36" t="str">
            <v>Grass</v>
          </cell>
          <cell r="AY36" t="str">
            <v>Grass</v>
          </cell>
        </row>
      </sheetData>
      <sheetData sheetId="2"/>
      <sheetData sheetId="3"/>
      <sheetData sheetId="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Jaq Kennedy" id="{8179EE88-3835-40EE-9205-C8CE87618497}" userId="534e1f3e8d9cda95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604BDBD-4272-4DFF-B762-42D74EA81567}" autoFormatId="16" applyNumberFormats="0" applyBorderFormats="0" applyFontFormats="0" applyPatternFormats="0" applyAlignmentFormats="0" applyWidthHeightFormats="0">
  <queryTableRefresh nextId="6">
    <queryTableFields count="5">
      <queryTableField id="1" name="Name" tableColumnId="1"/>
      <queryTableField id="2" name="Author" tableColumnId="2"/>
      <queryTableField id="3" name="Tags" tableColumnId="3"/>
      <queryTableField id="4" name="Difficulty" tableColumnId="4"/>
      <queryTableField id="5" name="AccessLevelRequire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291D9164-07EE-4EA9-9C43-4E54FCCF765A}" autoFormatId="16" applyNumberFormats="0" applyBorderFormats="0" applyFontFormats="0" applyPatternFormats="0" applyAlignmentFormats="0" applyWidthHeightFormats="0">
  <queryTableRefresh nextId="9">
    <queryTableFields count="6">
      <queryTableField id="1" name="Name" tableColumnId="1"/>
      <queryTableField id="2" name="Author" tableColumnId="2"/>
      <queryTableField id="3" name="Tags" tableColumnId="3"/>
      <queryTableField id="5" name="Difficulty" tableColumnId="5"/>
      <queryTableField id="7" name="Access Level" tableColumnId="7"/>
      <queryTableField id="6" name="Acces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C3EF24-BBF1-46FA-B795-FE30F08FB145}" name="ActiveCases" displayName="ActiveCases" ref="B2:F180" tableType="queryTable" totalsRowShown="0">
  <autoFilter ref="B2:F180" xr:uid="{17D972D6-DFF1-4C53-8AD6-3616452E54DC}"/>
  <tableColumns count="5">
    <tableColumn id="1" xr3:uid="{E4957C37-172B-4F6E-A302-81F7BC2053AB}" uniqueName="1" name="Name" queryTableFieldId="1" dataCellStyle="Normal 2"/>
    <tableColumn id="2" xr3:uid="{41663081-4367-42EC-A907-80DAEF5D768C}" uniqueName="2" name="Author" queryTableFieldId="2" dataCellStyle="Normal 2"/>
    <tableColumn id="3" xr3:uid="{31EF89AA-7729-4B76-92F5-EE1B4D79A55D}" uniqueName="3" name="Tags" queryTableFieldId="3" dataDxfId="21" dataCellStyle="Normal 2"/>
    <tableColumn id="4" xr3:uid="{E4D43AF6-6A7B-40C2-AB95-7108D33CED5D}" uniqueName="4" name="Difficulty" queryTableFieldId="4" dataCellStyle="Normal 2"/>
    <tableColumn id="5" xr3:uid="{45A5B0E0-EA16-43F6-8F79-F03078961DB8}" uniqueName="5" name="AccessLevelRequired" queryTableFieldId="5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E035C2-32FA-48DF-A266-AB097FE73275}" name="JaqCases" displayName="JaqCases" ref="I2:I130" totalsRowShown="0" headerRowDxfId="20">
  <autoFilter ref="I2:I130" xr:uid="{261462B0-8493-4FF3-8579-2EF117472980}"/>
  <sortState xmlns:xlrd2="http://schemas.microsoft.com/office/spreadsheetml/2017/richdata2" ref="I3:I130">
    <sortCondition ref="I3:I130"/>
  </sortState>
  <tableColumns count="1">
    <tableColumn id="1" xr3:uid="{6EC033FA-8E80-44CE-A780-B352E0D44E15}" name="Jaq's Cas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719211-0DBD-47E5-813E-EC7A9E046724}" name="mapDifficulty" displayName="mapDifficulty" ref="K2:L6" totalsRowShown="0">
  <autoFilter ref="K2:L6" xr:uid="{FB4B0FB5-1E42-4C94-A004-E00C09399100}"/>
  <tableColumns count="2">
    <tableColumn id="1" xr3:uid="{5ACEDF3F-A924-4863-BC9E-BF42DBADC3EC}" name="Code"/>
    <tableColumn id="2" xr3:uid="{4401FC0C-6F93-4129-8DA9-8D7809B866E5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04C92F-5AC1-426C-A524-6ED76642F9A3}" name="mapAccess" displayName="mapAccess" ref="N2:O5" totalsRowShown="0">
  <autoFilter ref="N2:O5" xr:uid="{B3F21ED8-8B2C-4BA7-AA00-FE4BDDFE2C39}"/>
  <tableColumns count="2">
    <tableColumn id="1" xr3:uid="{35539904-7C32-4F82-8449-5E3380328603}" name="Code"/>
    <tableColumn id="2" xr3:uid="{4CC3D7C9-DD1B-4299-94D8-7D16A1A58D08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EBB22-4542-4C5B-8C7D-E6CFC76531A7}" name="CaseList" displayName="CaseList" ref="B4:G182" tableType="queryTable" totalsRowShown="0">
  <autoFilter ref="B4:G182" xr:uid="{ADD7086D-6EB5-49CD-B761-370DB20646FF}"/>
  <tableColumns count="6">
    <tableColumn id="1" xr3:uid="{319FA7F6-036A-4F7F-AB56-E4F8BFB3F10D}" uniqueName="1" name="Name" queryTableFieldId="1" dataDxfId="19" dataCellStyle="Normal 2"/>
    <tableColumn id="2" xr3:uid="{2CDA79A3-7A9E-4657-8F53-66C7A1ACA436}" uniqueName="2" name="Author" queryTableFieldId="2" dataDxfId="18" dataCellStyle="Normal 2"/>
    <tableColumn id="3" xr3:uid="{99CDD3BE-69D0-4229-BF2D-ED0D0AD94DAE}" uniqueName="3" name="Tags" queryTableFieldId="3" dataDxfId="17" dataCellStyle="Normal 2"/>
    <tableColumn id="5" xr3:uid="{258A5E30-EAB6-41E4-B66A-93EF8926FA64}" uniqueName="5" name="Difficulty" queryTableFieldId="5" dataDxfId="16" dataCellStyle="Normal 2"/>
    <tableColumn id="7" xr3:uid="{60A86A15-55E6-4563-87D9-CE7E3690B451}" uniqueName="7" name="Access Level" queryTableFieldId="7" dataDxfId="15" dataCellStyle="Normal 2"/>
    <tableColumn id="6" xr3:uid="{7B652787-D9B6-45F1-B747-440E19200224}" uniqueName="6" name="Access" queryTableFieldId="6" dataDxfId="14" dataCellStyle="Normal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73B3A5-ED70-4D6E-B3B9-EF916DBE7F94}" name="Speeds" displayName="Speeds" ref="R2:S3" totalsRowShown="0" headerRowBorderDxfId="13" tableBorderDxfId="12" totalsRowBorderDxfId="11">
  <autoFilter ref="R2:S3" xr:uid="{9C73B3A5-ED70-4D6E-B3B9-EF916DBE7F94}"/>
  <tableColumns count="2">
    <tableColumn id="1" xr3:uid="{3D0B449F-75FC-4E24-849A-32F10FE9861B}" name="Terrain" dataDxfId="10"/>
    <tableColumn id="2" xr3:uid="{337ACA28-55FE-4979-9987-FE8DBE9D364F}" name="Speed" dataDxfId="9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6-03-01T21:13:03.57" personId="{8179EE88-3835-40EE-9205-C8CE87618497}" id="{8FF22592-6C8A-4AE0-A2D5-3E3A95DBF971}">
    <text>Delete the values below to use this for your own cases!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6-03-01T20:32:20.60" personId="{8179EE88-3835-40EE-9205-C8CE87618497}" id="{40B7A229-4663-4639-9C98-306FA3F2BD0E}">
    <text>Not useful outside of the case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4" dT="2026-03-01T20:32:20.60" personId="{8179EE88-3835-40EE-9205-C8CE87618497}" id="{AC02A232-9335-4123-8357-BC54946A92D0}">
    <text>Not useful outside of this case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4" dT="2026-03-01T20:32:20.60" personId="{8179EE88-3835-40EE-9205-C8CE87618497}" id="{8F9B88FA-CD3E-4C2F-B435-DF0B4BC5F724}">
    <text>Not useful outside of this case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4" dT="2026-03-01T20:32:20.60" personId="{8179EE88-3835-40EE-9205-C8CE87618497}" id="{9113FCB4-D163-41A3-A3A2-EC33483F7A43}">
    <text>Not useful outside of this case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81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D22945-7C39-455C-9CAB-AE1842BAD895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3FDA984-DCE2-400E-A840-C51334F7CEC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C25C-9446-4E00-9565-8B761198B9EB}">
  <sheetPr codeName="Sheet6"/>
  <dimension ref="B2:K15"/>
  <sheetViews>
    <sheetView showGridLines="0" zoomScale="160" zoomScaleNormal="160" workbookViewId="0">
      <pane ySplit="2" topLeftCell="A4" activePane="bottomLeft" state="frozenSplit"/>
      <selection activeCell="I13" sqref="I13"/>
      <selection pane="bottomLeft"/>
    </sheetView>
  </sheetViews>
  <sheetFormatPr defaultColWidth="9.23046875" defaultRowHeight="18.75" x14ac:dyDescent="0.3"/>
  <cols>
    <col min="1" max="1" width="1.3046875" style="1" customWidth="1"/>
    <col min="2" max="16384" width="9.23046875" style="1"/>
  </cols>
  <sheetData>
    <row r="2" spans="2:11" ht="20.25" thickBot="1" x14ac:dyDescent="0.35">
      <c r="B2" s="12" t="s">
        <v>486</v>
      </c>
      <c r="C2" s="12"/>
      <c r="D2" s="12"/>
      <c r="E2" s="12"/>
      <c r="F2" s="12"/>
      <c r="G2" s="12"/>
      <c r="H2" s="12"/>
      <c r="I2" s="12"/>
      <c r="J2" s="12"/>
      <c r="K2" s="12"/>
    </row>
    <row r="3" spans="2:11" ht="19.5" thickTop="1" x14ac:dyDescent="0.3"/>
    <row r="4" spans="2:11" ht="38.25" customHeight="1" x14ac:dyDescent="0.3">
      <c r="B4" s="23" t="s">
        <v>487</v>
      </c>
      <c r="C4" s="23"/>
      <c r="D4" s="23"/>
      <c r="E4" s="23"/>
      <c r="F4" s="23"/>
      <c r="G4" s="23"/>
      <c r="H4" s="23"/>
      <c r="I4" s="23"/>
      <c r="J4" s="23"/>
    </row>
    <row r="6" spans="2:11" x14ac:dyDescent="0.3">
      <c r="C6" s="1" t="s">
        <v>488</v>
      </c>
    </row>
    <row r="7" spans="2:11" x14ac:dyDescent="0.3">
      <c r="C7" s="1" t="s">
        <v>489</v>
      </c>
    </row>
    <row r="8" spans="2:11" x14ac:dyDescent="0.3">
      <c r="C8" s="1" t="s">
        <v>490</v>
      </c>
    </row>
    <row r="9" spans="2:11" x14ac:dyDescent="0.3">
      <c r="C9" s="1" t="s">
        <v>491</v>
      </c>
    </row>
    <row r="10" spans="2:11" x14ac:dyDescent="0.3">
      <c r="C10" s="1" t="s">
        <v>492</v>
      </c>
    </row>
    <row r="11" spans="2:11" x14ac:dyDescent="0.3">
      <c r="C11" s="1" t="s">
        <v>493</v>
      </c>
    </row>
    <row r="13" spans="2:11" x14ac:dyDescent="0.3">
      <c r="B13" s="1" t="s">
        <v>494</v>
      </c>
    </row>
    <row r="15" spans="2:11" x14ac:dyDescent="0.3">
      <c r="B15" s="1" t="s">
        <v>495</v>
      </c>
    </row>
  </sheetData>
  <mergeCells count="1">
    <mergeCell ref="B4:J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81AD-648E-4976-8494-FAD3255029B4}">
  <sheetPr codeName="Sheet9"/>
  <dimension ref="B1:O180"/>
  <sheetViews>
    <sheetView showGridLines="0" zoomScale="55" zoomScaleNormal="55" workbookViewId="0">
      <selection activeCell="L4" sqref="L4"/>
    </sheetView>
  </sheetViews>
  <sheetFormatPr defaultColWidth="9.23046875" defaultRowHeight="18.75" x14ac:dyDescent="0.3"/>
  <cols>
    <col min="1" max="1" width="9.23046875" style="1"/>
    <col min="2" max="2" width="35.15234375" style="1" bestFit="1" customWidth="1"/>
    <col min="3" max="3" width="30.53515625" style="1" bestFit="1" customWidth="1"/>
    <col min="4" max="4" width="42.84375" style="1" bestFit="1" customWidth="1"/>
    <col min="5" max="5" width="8.07421875" style="1" bestFit="1" customWidth="1"/>
    <col min="6" max="6" width="18.23046875" style="1" bestFit="1" customWidth="1"/>
    <col min="7" max="8" width="9.23046875" style="1"/>
    <col min="9" max="9" width="32.61328125" style="1" bestFit="1" customWidth="1"/>
    <col min="10" max="16384" width="9.23046875" style="1"/>
  </cols>
  <sheetData>
    <row r="1" spans="2:15" x14ac:dyDescent="0.3">
      <c r="K1" s="3" t="s">
        <v>496</v>
      </c>
      <c r="L1" s="3"/>
      <c r="N1" s="3" t="s">
        <v>497</v>
      </c>
      <c r="O1" s="3"/>
    </row>
    <row r="2" spans="2:15" x14ac:dyDescent="0.3">
      <c r="B2" s="1" t="s">
        <v>140</v>
      </c>
      <c r="C2" s="1" t="s">
        <v>141</v>
      </c>
      <c r="D2" s="1" t="s">
        <v>142</v>
      </c>
      <c r="E2" s="1" t="s">
        <v>2</v>
      </c>
      <c r="F2" s="1" t="s">
        <v>498</v>
      </c>
      <c r="I2" s="5" t="s">
        <v>499</v>
      </c>
      <c r="K2" s="1" t="s">
        <v>500</v>
      </c>
      <c r="L2" s="1" t="s">
        <v>501</v>
      </c>
      <c r="N2" s="1" t="s">
        <v>500</v>
      </c>
      <c r="O2" s="1" t="s">
        <v>501</v>
      </c>
    </row>
    <row r="3" spans="2:15" x14ac:dyDescent="0.3">
      <c r="B3" s="1" t="s">
        <v>380</v>
      </c>
      <c r="C3" s="1" t="s">
        <v>204</v>
      </c>
      <c r="D3" s="1" t="s">
        <v>381</v>
      </c>
      <c r="E3" s="1">
        <v>2</v>
      </c>
      <c r="F3" s="1">
        <v>10</v>
      </c>
      <c r="I3" s="1" t="s">
        <v>150</v>
      </c>
      <c r="K3" s="1">
        <v>0</v>
      </c>
      <c r="L3" s="1" t="s">
        <v>171</v>
      </c>
      <c r="N3" s="1">
        <v>0</v>
      </c>
      <c r="O3" s="1" t="s">
        <v>187</v>
      </c>
    </row>
    <row r="4" spans="2:15" x14ac:dyDescent="0.3">
      <c r="B4" s="1" t="s">
        <v>367</v>
      </c>
      <c r="C4" s="1" t="s">
        <v>201</v>
      </c>
      <c r="D4" s="1" t="s">
        <v>368</v>
      </c>
      <c r="E4" s="1">
        <v>1</v>
      </c>
      <c r="F4" s="1">
        <v>10</v>
      </c>
      <c r="I4" s="1" t="s">
        <v>157</v>
      </c>
      <c r="K4" s="1">
        <v>1</v>
      </c>
      <c r="L4" s="1" t="s">
        <v>148</v>
      </c>
      <c r="N4" s="1">
        <v>10</v>
      </c>
      <c r="O4" s="1" t="s">
        <v>153</v>
      </c>
    </row>
    <row r="5" spans="2:15" x14ac:dyDescent="0.3">
      <c r="B5" s="1" t="s">
        <v>217</v>
      </c>
      <c r="C5" s="1" t="s">
        <v>218</v>
      </c>
      <c r="D5" s="1" t="s">
        <v>219</v>
      </c>
      <c r="E5" s="1">
        <v>3</v>
      </c>
      <c r="F5" s="1">
        <v>10</v>
      </c>
      <c r="I5" s="1" t="s">
        <v>160</v>
      </c>
      <c r="K5" s="1">
        <v>2</v>
      </c>
      <c r="L5" s="1" t="s">
        <v>156</v>
      </c>
      <c r="N5" s="1">
        <v>100</v>
      </c>
      <c r="O5" s="1" t="s">
        <v>149</v>
      </c>
    </row>
    <row r="6" spans="2:15" x14ac:dyDescent="0.3">
      <c r="B6" s="1" t="s">
        <v>407</v>
      </c>
      <c r="C6" s="1" t="s">
        <v>345</v>
      </c>
      <c r="D6" s="1" t="s">
        <v>346</v>
      </c>
      <c r="E6" s="1">
        <v>2</v>
      </c>
      <c r="F6" s="1">
        <v>10</v>
      </c>
      <c r="I6" s="1" t="s">
        <v>169</v>
      </c>
      <c r="K6" s="1">
        <v>3</v>
      </c>
      <c r="L6" s="1" t="s">
        <v>168</v>
      </c>
    </row>
    <row r="7" spans="2:15" x14ac:dyDescent="0.3">
      <c r="B7" s="1" t="s">
        <v>234</v>
      </c>
      <c r="C7" s="1" t="s">
        <v>192</v>
      </c>
      <c r="D7" s="1" t="s">
        <v>235</v>
      </c>
      <c r="E7" s="1">
        <v>1</v>
      </c>
      <c r="F7" s="1">
        <v>10</v>
      </c>
      <c r="I7" s="1" t="s">
        <v>178</v>
      </c>
    </row>
    <row r="8" spans="2:15" x14ac:dyDescent="0.3">
      <c r="B8" s="1" t="s">
        <v>389</v>
      </c>
      <c r="C8" s="1" t="s">
        <v>192</v>
      </c>
      <c r="D8" s="1" t="s">
        <v>390</v>
      </c>
      <c r="E8" s="1">
        <v>2</v>
      </c>
      <c r="F8" s="1">
        <v>10</v>
      </c>
      <c r="I8" s="1" t="s">
        <v>10</v>
      </c>
    </row>
    <row r="9" spans="2:15" x14ac:dyDescent="0.3">
      <c r="B9" s="1" t="s">
        <v>240</v>
      </c>
      <c r="C9" s="1" t="s">
        <v>241</v>
      </c>
      <c r="D9" s="1" t="s">
        <v>242</v>
      </c>
      <c r="E9" s="1">
        <v>1</v>
      </c>
      <c r="F9" s="1">
        <v>10</v>
      </c>
      <c r="I9" s="1" t="s">
        <v>182</v>
      </c>
    </row>
    <row r="10" spans="2:15" x14ac:dyDescent="0.3">
      <c r="B10" s="1" t="s">
        <v>211</v>
      </c>
      <c r="C10" s="1" t="s">
        <v>164</v>
      </c>
      <c r="D10" s="1" t="s">
        <v>212</v>
      </c>
      <c r="E10" s="1">
        <v>1</v>
      </c>
      <c r="F10" s="1">
        <v>10</v>
      </c>
      <c r="I10" s="1" t="s">
        <v>185</v>
      </c>
    </row>
    <row r="11" spans="2:15" x14ac:dyDescent="0.3">
      <c r="B11" s="1" t="s">
        <v>393</v>
      </c>
      <c r="C11" s="1" t="s">
        <v>151</v>
      </c>
      <c r="D11" s="1" t="s">
        <v>394</v>
      </c>
      <c r="E11" s="1">
        <v>1</v>
      </c>
      <c r="F11" s="1">
        <v>10</v>
      </c>
      <c r="I11" s="1" t="s">
        <v>188</v>
      </c>
    </row>
    <row r="12" spans="2:15" x14ac:dyDescent="0.3">
      <c r="B12" s="1" t="s">
        <v>386</v>
      </c>
      <c r="C12" s="1" t="s">
        <v>173</v>
      </c>
      <c r="D12" s="1" t="s">
        <v>387</v>
      </c>
      <c r="E12" s="1">
        <v>1</v>
      </c>
      <c r="F12" s="1">
        <v>0</v>
      </c>
      <c r="I12" s="1" t="s">
        <v>191</v>
      </c>
    </row>
    <row r="13" spans="2:15" x14ac:dyDescent="0.3">
      <c r="B13" s="1" t="s">
        <v>237</v>
      </c>
      <c r="C13" s="1" t="s">
        <v>207</v>
      </c>
      <c r="D13" s="1" t="s">
        <v>238</v>
      </c>
      <c r="E13" s="1">
        <v>2</v>
      </c>
      <c r="F13" s="1">
        <v>0</v>
      </c>
      <c r="I13" s="1" t="s">
        <v>194</v>
      </c>
    </row>
    <row r="14" spans="2:15" x14ac:dyDescent="0.3">
      <c r="B14" s="1" t="s">
        <v>446</v>
      </c>
      <c r="C14" s="1" t="s">
        <v>151</v>
      </c>
      <c r="D14" s="1" t="s">
        <v>394</v>
      </c>
      <c r="E14" s="1">
        <v>0</v>
      </c>
      <c r="F14" s="1">
        <v>10</v>
      </c>
      <c r="I14" s="1" t="s">
        <v>196</v>
      </c>
    </row>
    <row r="15" spans="2:15" x14ac:dyDescent="0.3">
      <c r="B15" s="1" t="s">
        <v>239</v>
      </c>
      <c r="C15" s="1" t="s">
        <v>215</v>
      </c>
      <c r="D15" s="1" t="s">
        <v>216</v>
      </c>
      <c r="E15" s="1">
        <v>0</v>
      </c>
      <c r="F15" s="1">
        <v>10</v>
      </c>
      <c r="I15" s="1" t="s">
        <v>199</v>
      </c>
    </row>
    <row r="16" spans="2:15" x14ac:dyDescent="0.3">
      <c r="B16" s="1" t="s">
        <v>444</v>
      </c>
      <c r="C16" s="1" t="s">
        <v>192</v>
      </c>
      <c r="D16" s="1" t="s">
        <v>445</v>
      </c>
      <c r="E16" s="1">
        <v>0</v>
      </c>
      <c r="F16" s="1">
        <v>10</v>
      </c>
      <c r="I16" s="1" t="s">
        <v>200</v>
      </c>
    </row>
    <row r="17" spans="2:9" x14ac:dyDescent="0.3">
      <c r="B17" s="1" t="s">
        <v>318</v>
      </c>
      <c r="C17" s="1" t="s">
        <v>173</v>
      </c>
      <c r="D17" s="1" t="s">
        <v>174</v>
      </c>
      <c r="E17" s="1">
        <v>0</v>
      </c>
      <c r="F17" s="1">
        <v>100</v>
      </c>
      <c r="I17" s="1" t="s">
        <v>203</v>
      </c>
    </row>
    <row r="18" spans="2:9" x14ac:dyDescent="0.3">
      <c r="B18" s="1" t="s">
        <v>436</v>
      </c>
      <c r="C18" s="1" t="s">
        <v>161</v>
      </c>
      <c r="D18" s="1" t="s">
        <v>259</v>
      </c>
      <c r="E18" s="1">
        <v>1</v>
      </c>
      <c r="F18" s="1">
        <v>10</v>
      </c>
      <c r="I18" s="1" t="s">
        <v>206</v>
      </c>
    </row>
    <row r="19" spans="2:9" x14ac:dyDescent="0.3">
      <c r="B19" s="1" t="s">
        <v>10</v>
      </c>
      <c r="C19" s="1" t="s">
        <v>161</v>
      </c>
      <c r="D19" s="1" t="s">
        <v>181</v>
      </c>
      <c r="E19" s="1">
        <v>1</v>
      </c>
      <c r="F19" s="1">
        <v>10</v>
      </c>
      <c r="I19" s="1" t="s">
        <v>11</v>
      </c>
    </row>
    <row r="20" spans="2:9" x14ac:dyDescent="0.3">
      <c r="B20" s="1" t="s">
        <v>348</v>
      </c>
      <c r="C20" s="1" t="s">
        <v>164</v>
      </c>
      <c r="D20" s="1" t="s">
        <v>167</v>
      </c>
      <c r="E20" s="1">
        <v>2</v>
      </c>
      <c r="F20" s="1">
        <v>100</v>
      </c>
      <c r="I20" s="1" t="s">
        <v>209</v>
      </c>
    </row>
    <row r="21" spans="2:9" x14ac:dyDescent="0.3">
      <c r="B21" s="1" t="s">
        <v>358</v>
      </c>
      <c r="C21" s="1" t="s">
        <v>359</v>
      </c>
      <c r="D21" s="1" t="s">
        <v>360</v>
      </c>
      <c r="E21" s="1">
        <v>0</v>
      </c>
      <c r="F21" s="1">
        <v>10</v>
      </c>
      <c r="I21" s="1" t="s">
        <v>211</v>
      </c>
    </row>
    <row r="22" spans="2:9" x14ac:dyDescent="0.3">
      <c r="B22" s="1" t="s">
        <v>357</v>
      </c>
      <c r="C22" s="1" t="s">
        <v>151</v>
      </c>
      <c r="D22" s="1" t="s">
        <v>233</v>
      </c>
      <c r="E22" s="1">
        <v>2</v>
      </c>
      <c r="F22" s="1">
        <v>10</v>
      </c>
      <c r="I22" s="1" t="s">
        <v>213</v>
      </c>
    </row>
    <row r="23" spans="2:9" x14ac:dyDescent="0.3">
      <c r="B23" s="1" t="s">
        <v>290</v>
      </c>
      <c r="C23" s="1" t="s">
        <v>192</v>
      </c>
      <c r="D23" s="1" t="s">
        <v>291</v>
      </c>
      <c r="E23" s="1">
        <v>1</v>
      </c>
      <c r="F23" s="1">
        <v>100</v>
      </c>
      <c r="I23" s="1" t="s">
        <v>217</v>
      </c>
    </row>
    <row r="24" spans="2:9" x14ac:dyDescent="0.3">
      <c r="B24" s="1" t="s">
        <v>467</v>
      </c>
      <c r="C24" s="1" t="s">
        <v>218</v>
      </c>
      <c r="D24" s="1" t="s">
        <v>468</v>
      </c>
      <c r="E24" s="1">
        <v>2</v>
      </c>
      <c r="F24" s="1">
        <v>10</v>
      </c>
      <c r="I24" s="1" t="s">
        <v>221</v>
      </c>
    </row>
    <row r="25" spans="2:9" x14ac:dyDescent="0.3">
      <c r="B25" s="1" t="s">
        <v>478</v>
      </c>
      <c r="C25" s="1" t="s">
        <v>164</v>
      </c>
      <c r="D25" s="1" t="s">
        <v>479</v>
      </c>
      <c r="E25" s="1">
        <v>0</v>
      </c>
      <c r="F25" s="1">
        <v>10</v>
      </c>
      <c r="I25" s="1" t="s">
        <v>224</v>
      </c>
    </row>
    <row r="26" spans="2:9" x14ac:dyDescent="0.3">
      <c r="B26" s="1" t="s">
        <v>282</v>
      </c>
      <c r="C26" s="1" t="s">
        <v>283</v>
      </c>
      <c r="D26" s="1" t="s">
        <v>284</v>
      </c>
      <c r="E26" s="1">
        <v>2</v>
      </c>
      <c r="F26" s="1">
        <v>100</v>
      </c>
      <c r="I26" s="1" t="s">
        <v>227</v>
      </c>
    </row>
    <row r="27" spans="2:9" x14ac:dyDescent="0.3">
      <c r="B27" s="1" t="s">
        <v>426</v>
      </c>
      <c r="C27" s="1" t="s">
        <v>161</v>
      </c>
      <c r="D27" s="1" t="s">
        <v>259</v>
      </c>
      <c r="E27" s="1">
        <v>1</v>
      </c>
      <c r="F27" s="1">
        <v>0</v>
      </c>
      <c r="I27" s="1" t="s">
        <v>232</v>
      </c>
    </row>
    <row r="28" spans="2:9" x14ac:dyDescent="0.3">
      <c r="B28" s="1" t="s">
        <v>294</v>
      </c>
      <c r="C28" s="1" t="s">
        <v>207</v>
      </c>
      <c r="D28" s="1" t="s">
        <v>295</v>
      </c>
      <c r="E28" s="1">
        <v>1</v>
      </c>
      <c r="F28" s="1">
        <v>10</v>
      </c>
      <c r="I28" s="1" t="s">
        <v>234</v>
      </c>
    </row>
    <row r="29" spans="2:9" x14ac:dyDescent="0.3">
      <c r="B29" s="1" t="s">
        <v>410</v>
      </c>
      <c r="C29" s="1" t="s">
        <v>272</v>
      </c>
      <c r="D29" s="1" t="s">
        <v>411</v>
      </c>
      <c r="E29" s="1">
        <v>2</v>
      </c>
      <c r="F29" s="1">
        <v>100</v>
      </c>
      <c r="I29" s="1" t="s">
        <v>237</v>
      </c>
    </row>
    <row r="30" spans="2:9" x14ac:dyDescent="0.3">
      <c r="B30" s="1" t="s">
        <v>438</v>
      </c>
      <c r="C30" s="1" t="s">
        <v>158</v>
      </c>
      <c r="D30" s="1" t="s">
        <v>439</v>
      </c>
      <c r="E30" s="1">
        <v>3</v>
      </c>
      <c r="F30" s="1">
        <v>10</v>
      </c>
      <c r="I30" s="1" t="s">
        <v>240</v>
      </c>
    </row>
    <row r="31" spans="2:9" x14ac:dyDescent="0.3">
      <c r="B31" s="1" t="s">
        <v>182</v>
      </c>
      <c r="C31" s="1" t="s">
        <v>183</v>
      </c>
      <c r="D31" s="1" t="s">
        <v>184</v>
      </c>
      <c r="E31" s="1">
        <v>1</v>
      </c>
      <c r="F31" s="1">
        <v>10</v>
      </c>
      <c r="I31" s="1" t="s">
        <v>243</v>
      </c>
    </row>
    <row r="32" spans="2:9" x14ac:dyDescent="0.3">
      <c r="B32" s="1" t="s">
        <v>459</v>
      </c>
      <c r="C32" s="1" t="s">
        <v>161</v>
      </c>
      <c r="D32" s="1" t="s">
        <v>259</v>
      </c>
      <c r="E32" s="1">
        <v>2</v>
      </c>
      <c r="F32" s="1">
        <v>10</v>
      </c>
      <c r="I32" s="1" t="s">
        <v>250</v>
      </c>
    </row>
    <row r="33" spans="2:9" x14ac:dyDescent="0.3">
      <c r="B33" s="1" t="s">
        <v>319</v>
      </c>
      <c r="C33" s="1" t="s">
        <v>151</v>
      </c>
      <c r="D33" s="1" t="s">
        <v>264</v>
      </c>
      <c r="E33" s="1">
        <v>0</v>
      </c>
      <c r="F33" s="1">
        <v>10</v>
      </c>
      <c r="I33" s="1" t="s">
        <v>251</v>
      </c>
    </row>
    <row r="34" spans="2:9" x14ac:dyDescent="0.3">
      <c r="B34" s="1" t="s">
        <v>178</v>
      </c>
      <c r="C34" s="1" t="s">
        <v>179</v>
      </c>
      <c r="D34" s="1" t="s">
        <v>180</v>
      </c>
      <c r="E34" s="1">
        <v>1</v>
      </c>
      <c r="F34" s="1">
        <v>10</v>
      </c>
      <c r="I34" s="1" t="s">
        <v>253</v>
      </c>
    </row>
    <row r="35" spans="2:9" x14ac:dyDescent="0.3">
      <c r="B35" s="1" t="s">
        <v>415</v>
      </c>
      <c r="C35" s="1" t="s">
        <v>345</v>
      </c>
      <c r="D35" s="1" t="s">
        <v>416</v>
      </c>
      <c r="E35" s="1">
        <v>2</v>
      </c>
      <c r="F35" s="1">
        <v>100</v>
      </c>
      <c r="I35" s="1" t="s">
        <v>244</v>
      </c>
    </row>
    <row r="36" spans="2:9" x14ac:dyDescent="0.3">
      <c r="B36" s="1" t="s">
        <v>227</v>
      </c>
      <c r="C36" s="1" t="s">
        <v>173</v>
      </c>
      <c r="D36" s="1" t="s">
        <v>228</v>
      </c>
      <c r="E36" s="1">
        <v>0</v>
      </c>
      <c r="F36" s="1">
        <v>100</v>
      </c>
      <c r="I36" s="1" t="s">
        <v>256</v>
      </c>
    </row>
    <row r="37" spans="2:9" x14ac:dyDescent="0.3">
      <c r="B37" s="1" t="s">
        <v>323</v>
      </c>
      <c r="C37" s="1" t="s">
        <v>151</v>
      </c>
      <c r="D37" s="1" t="s">
        <v>324</v>
      </c>
      <c r="E37" s="1">
        <v>0</v>
      </c>
      <c r="F37" s="1">
        <v>100</v>
      </c>
      <c r="I37" s="1" t="s">
        <v>258</v>
      </c>
    </row>
    <row r="38" spans="2:9" x14ac:dyDescent="0.3">
      <c r="B38" s="1" t="s">
        <v>288</v>
      </c>
      <c r="C38" s="1" t="s">
        <v>215</v>
      </c>
      <c r="D38" s="1" t="s">
        <v>289</v>
      </c>
      <c r="E38" s="1">
        <v>0</v>
      </c>
      <c r="F38" s="1">
        <v>10</v>
      </c>
      <c r="I38" s="1" t="s">
        <v>260</v>
      </c>
    </row>
    <row r="39" spans="2:9" x14ac:dyDescent="0.3">
      <c r="B39" s="1" t="s">
        <v>203</v>
      </c>
      <c r="C39" s="1" t="s">
        <v>204</v>
      </c>
      <c r="D39" s="1" t="s">
        <v>205</v>
      </c>
      <c r="E39" s="1">
        <v>1</v>
      </c>
      <c r="F39" s="1">
        <v>100</v>
      </c>
      <c r="I39" s="1" t="s">
        <v>263</v>
      </c>
    </row>
    <row r="40" spans="2:9" x14ac:dyDescent="0.3">
      <c r="B40" s="1" t="s">
        <v>480</v>
      </c>
      <c r="C40" s="1" t="s">
        <v>481</v>
      </c>
      <c r="D40" s="1" t="s">
        <v>482</v>
      </c>
      <c r="E40" s="1">
        <v>3</v>
      </c>
      <c r="F40" s="1">
        <v>10</v>
      </c>
      <c r="I40" s="1" t="s">
        <v>266</v>
      </c>
    </row>
    <row r="41" spans="2:9" x14ac:dyDescent="0.3">
      <c r="B41" s="1" t="s">
        <v>472</v>
      </c>
      <c r="C41" s="1" t="s">
        <v>151</v>
      </c>
      <c r="D41" s="1" t="s">
        <v>473</v>
      </c>
      <c r="E41" s="1">
        <v>1</v>
      </c>
      <c r="F41" s="1">
        <v>10</v>
      </c>
      <c r="I41" s="1" t="s">
        <v>269</v>
      </c>
    </row>
    <row r="42" spans="2:9" x14ac:dyDescent="0.3">
      <c r="B42" s="1" t="s">
        <v>418</v>
      </c>
      <c r="C42" s="1" t="s">
        <v>419</v>
      </c>
      <c r="D42" s="1" t="s">
        <v>420</v>
      </c>
      <c r="E42" s="1">
        <v>2</v>
      </c>
      <c r="F42" s="1">
        <v>100</v>
      </c>
      <c r="I42" s="1" t="s">
        <v>277</v>
      </c>
    </row>
    <row r="43" spans="2:9" x14ac:dyDescent="0.3">
      <c r="B43" s="1" t="s">
        <v>244</v>
      </c>
      <c r="C43" s="1" t="s">
        <v>245</v>
      </c>
      <c r="D43" s="1" t="s">
        <v>246</v>
      </c>
      <c r="E43" s="1">
        <v>1</v>
      </c>
      <c r="F43" s="1">
        <v>10</v>
      </c>
      <c r="I43" s="1" t="s">
        <v>280</v>
      </c>
    </row>
    <row r="44" spans="2:9" x14ac:dyDescent="0.3">
      <c r="B44" s="1" t="s">
        <v>351</v>
      </c>
      <c r="C44" s="1" t="s">
        <v>286</v>
      </c>
      <c r="D44" s="1" t="s">
        <v>352</v>
      </c>
      <c r="E44" s="1">
        <v>1</v>
      </c>
      <c r="F44" s="1">
        <v>10</v>
      </c>
      <c r="I44" s="1" t="s">
        <v>282</v>
      </c>
    </row>
    <row r="45" spans="2:9" x14ac:dyDescent="0.3">
      <c r="B45" s="1" t="s">
        <v>373</v>
      </c>
      <c r="C45" s="1" t="s">
        <v>374</v>
      </c>
      <c r="D45" s="1" t="s">
        <v>375</v>
      </c>
      <c r="E45" s="1">
        <v>1</v>
      </c>
      <c r="F45" s="1">
        <v>100</v>
      </c>
      <c r="I45" s="1" t="s">
        <v>285</v>
      </c>
    </row>
    <row r="46" spans="2:9" x14ac:dyDescent="0.3">
      <c r="B46" s="1" t="s">
        <v>314</v>
      </c>
      <c r="C46" s="1" t="s">
        <v>218</v>
      </c>
      <c r="D46" s="1" t="s">
        <v>270</v>
      </c>
      <c r="E46" s="1">
        <v>2</v>
      </c>
      <c r="F46" s="1">
        <v>10</v>
      </c>
      <c r="I46" s="1" t="s">
        <v>288</v>
      </c>
    </row>
    <row r="47" spans="2:9" x14ac:dyDescent="0.3">
      <c r="B47" s="1" t="s">
        <v>388</v>
      </c>
      <c r="C47" s="1" t="s">
        <v>173</v>
      </c>
      <c r="D47" s="1" t="s">
        <v>174</v>
      </c>
      <c r="E47" s="1">
        <v>0</v>
      </c>
      <c r="F47" s="1">
        <v>100</v>
      </c>
      <c r="I47" s="1" t="s">
        <v>290</v>
      </c>
    </row>
    <row r="48" spans="2:9" x14ac:dyDescent="0.3">
      <c r="B48" s="1" t="s">
        <v>292</v>
      </c>
      <c r="C48" s="1" t="s">
        <v>272</v>
      </c>
      <c r="D48" s="1" t="s">
        <v>273</v>
      </c>
      <c r="E48" s="1">
        <v>0</v>
      </c>
      <c r="F48" s="1">
        <v>0</v>
      </c>
      <c r="I48" s="1" t="s">
        <v>292</v>
      </c>
    </row>
    <row r="49" spans="2:9" x14ac:dyDescent="0.3">
      <c r="B49" s="1" t="s">
        <v>461</v>
      </c>
      <c r="C49" s="1" t="s">
        <v>164</v>
      </c>
      <c r="D49" s="1" t="s">
        <v>462</v>
      </c>
      <c r="E49" s="1">
        <v>2</v>
      </c>
      <c r="F49" s="1">
        <v>10</v>
      </c>
      <c r="I49" s="1" t="s">
        <v>294</v>
      </c>
    </row>
    <row r="50" spans="2:9" x14ac:dyDescent="0.3">
      <c r="B50" s="1" t="s">
        <v>191</v>
      </c>
      <c r="C50" s="1" t="s">
        <v>192</v>
      </c>
      <c r="D50" s="1" t="s">
        <v>193</v>
      </c>
      <c r="E50" s="1">
        <v>1</v>
      </c>
      <c r="F50" s="1">
        <v>10</v>
      </c>
      <c r="I50" s="1" t="s">
        <v>296</v>
      </c>
    </row>
    <row r="51" spans="2:9" x14ac:dyDescent="0.3">
      <c r="B51" s="1" t="s">
        <v>256</v>
      </c>
      <c r="C51" s="1" t="s">
        <v>215</v>
      </c>
      <c r="D51" s="1" t="s">
        <v>257</v>
      </c>
      <c r="E51" s="1">
        <v>0</v>
      </c>
      <c r="F51" s="1">
        <v>0</v>
      </c>
      <c r="I51" s="1" t="s">
        <v>300</v>
      </c>
    </row>
    <row r="52" spans="2:9" x14ac:dyDescent="0.3">
      <c r="B52" s="1" t="s">
        <v>362</v>
      </c>
      <c r="C52" s="1" t="s">
        <v>363</v>
      </c>
      <c r="D52" s="1" t="s">
        <v>259</v>
      </c>
      <c r="E52" s="1">
        <v>1</v>
      </c>
      <c r="F52" s="1">
        <v>10</v>
      </c>
      <c r="I52" s="1" t="s">
        <v>302</v>
      </c>
    </row>
    <row r="53" spans="2:9" x14ac:dyDescent="0.3">
      <c r="B53" s="1" t="s">
        <v>378</v>
      </c>
      <c r="C53" s="1" t="s">
        <v>225</v>
      </c>
      <c r="D53" s="1" t="s">
        <v>313</v>
      </c>
      <c r="E53" s="1">
        <v>1</v>
      </c>
      <c r="F53" s="1">
        <v>10</v>
      </c>
      <c r="I53" s="1" t="s">
        <v>502</v>
      </c>
    </row>
    <row r="54" spans="2:9" x14ac:dyDescent="0.3">
      <c r="B54" s="1" t="s">
        <v>425</v>
      </c>
      <c r="C54" s="1" t="s">
        <v>161</v>
      </c>
      <c r="D54" s="1" t="s">
        <v>162</v>
      </c>
      <c r="E54" s="1">
        <v>0</v>
      </c>
      <c r="F54" s="1">
        <v>10</v>
      </c>
      <c r="I54" s="1" t="s">
        <v>298</v>
      </c>
    </row>
    <row r="55" spans="2:9" x14ac:dyDescent="0.3">
      <c r="B55" s="1" t="s">
        <v>434</v>
      </c>
      <c r="C55" s="1" t="s">
        <v>161</v>
      </c>
      <c r="D55" s="1" t="s">
        <v>428</v>
      </c>
      <c r="E55" s="1">
        <v>1</v>
      </c>
      <c r="F55" s="1">
        <v>10</v>
      </c>
      <c r="I55" s="1" t="s">
        <v>304</v>
      </c>
    </row>
    <row r="56" spans="2:9" x14ac:dyDescent="0.3">
      <c r="B56" s="1" t="s">
        <v>296</v>
      </c>
      <c r="C56" s="1" t="s">
        <v>215</v>
      </c>
      <c r="D56" s="1" t="s">
        <v>297</v>
      </c>
      <c r="E56" s="1">
        <v>2</v>
      </c>
      <c r="F56" s="1">
        <v>10</v>
      </c>
      <c r="I56" s="1" t="s">
        <v>306</v>
      </c>
    </row>
    <row r="57" spans="2:9" x14ac:dyDescent="0.3">
      <c r="B57" s="1" t="s">
        <v>427</v>
      </c>
      <c r="C57" s="1" t="s">
        <v>161</v>
      </c>
      <c r="D57" s="1" t="s">
        <v>428</v>
      </c>
      <c r="E57" s="1">
        <v>1</v>
      </c>
      <c r="F57" s="1">
        <v>10</v>
      </c>
      <c r="I57" s="1" t="s">
        <v>308</v>
      </c>
    </row>
    <row r="58" spans="2:9" x14ac:dyDescent="0.3">
      <c r="B58" s="1" t="s">
        <v>232</v>
      </c>
      <c r="C58" s="1" t="s">
        <v>151</v>
      </c>
      <c r="D58" s="1" t="s">
        <v>233</v>
      </c>
      <c r="E58" s="1">
        <v>1</v>
      </c>
      <c r="F58" s="1">
        <v>10</v>
      </c>
      <c r="I58" s="1" t="s">
        <v>311</v>
      </c>
    </row>
    <row r="59" spans="2:9" x14ac:dyDescent="0.3">
      <c r="B59" s="1" t="s">
        <v>312</v>
      </c>
      <c r="C59" s="1" t="s">
        <v>225</v>
      </c>
      <c r="D59" s="1" t="s">
        <v>313</v>
      </c>
      <c r="E59" s="1">
        <v>1</v>
      </c>
      <c r="F59" s="1">
        <v>10</v>
      </c>
      <c r="I59" s="1" t="s">
        <v>314</v>
      </c>
    </row>
    <row r="60" spans="2:9" x14ac:dyDescent="0.3">
      <c r="B60" s="1" t="s">
        <v>188</v>
      </c>
      <c r="C60" s="1" t="s">
        <v>189</v>
      </c>
      <c r="D60" s="1" t="s">
        <v>190</v>
      </c>
      <c r="E60" s="1">
        <v>3</v>
      </c>
      <c r="F60" s="1">
        <v>10</v>
      </c>
      <c r="I60" s="1" t="s">
        <v>315</v>
      </c>
    </row>
    <row r="61" spans="2:9" x14ac:dyDescent="0.3">
      <c r="B61" s="1" t="s">
        <v>452</v>
      </c>
      <c r="C61" s="1" t="s">
        <v>453</v>
      </c>
      <c r="D61" s="1" t="s">
        <v>454</v>
      </c>
      <c r="E61" s="1">
        <v>0</v>
      </c>
      <c r="F61" s="1">
        <v>10</v>
      </c>
      <c r="I61" s="1" t="s">
        <v>319</v>
      </c>
    </row>
    <row r="62" spans="2:9" x14ac:dyDescent="0.3">
      <c r="B62" s="1" t="s">
        <v>269</v>
      </c>
      <c r="C62" s="1" t="s">
        <v>218</v>
      </c>
      <c r="D62" s="1" t="s">
        <v>270</v>
      </c>
      <c r="E62" s="1">
        <v>2</v>
      </c>
      <c r="F62" s="1">
        <v>10</v>
      </c>
      <c r="I62" s="1" t="s">
        <v>323</v>
      </c>
    </row>
    <row r="63" spans="2:9" x14ac:dyDescent="0.3">
      <c r="B63" s="1" t="s">
        <v>200</v>
      </c>
      <c r="C63" s="1" t="s">
        <v>201</v>
      </c>
      <c r="D63" s="1" t="s">
        <v>202</v>
      </c>
      <c r="E63" s="1">
        <v>1</v>
      </c>
      <c r="F63" s="1">
        <v>100</v>
      </c>
      <c r="I63" s="1" t="s">
        <v>325</v>
      </c>
    </row>
    <row r="64" spans="2:9" x14ac:dyDescent="0.3">
      <c r="B64" s="1" t="s">
        <v>431</v>
      </c>
      <c r="C64" s="1" t="s">
        <v>161</v>
      </c>
      <c r="D64" s="1" t="s">
        <v>162</v>
      </c>
      <c r="E64" s="1">
        <v>0</v>
      </c>
      <c r="F64" s="1">
        <v>10</v>
      </c>
      <c r="I64" s="1" t="s">
        <v>327</v>
      </c>
    </row>
    <row r="65" spans="2:9" x14ac:dyDescent="0.3">
      <c r="B65" s="1" t="s">
        <v>253</v>
      </c>
      <c r="C65" s="1" t="s">
        <v>254</v>
      </c>
      <c r="D65" s="1" t="s">
        <v>255</v>
      </c>
      <c r="E65" s="1">
        <v>1</v>
      </c>
      <c r="F65" s="1">
        <v>10</v>
      </c>
      <c r="I65" s="1" t="s">
        <v>329</v>
      </c>
    </row>
    <row r="66" spans="2:9" x14ac:dyDescent="0.3">
      <c r="B66" s="1" t="s">
        <v>224</v>
      </c>
      <c r="C66" s="1" t="s">
        <v>225</v>
      </c>
      <c r="D66" s="1" t="s">
        <v>226</v>
      </c>
      <c r="E66" s="1">
        <v>0</v>
      </c>
      <c r="F66" s="1">
        <v>10</v>
      </c>
      <c r="I66" s="1" t="s">
        <v>330</v>
      </c>
    </row>
    <row r="67" spans="2:9" x14ac:dyDescent="0.3">
      <c r="B67" s="1" t="s">
        <v>250</v>
      </c>
      <c r="C67" s="1" t="s">
        <v>161</v>
      </c>
      <c r="D67" s="1" t="s">
        <v>162</v>
      </c>
      <c r="E67" s="1">
        <v>1</v>
      </c>
      <c r="F67" s="1">
        <v>10</v>
      </c>
      <c r="I67" s="1" t="s">
        <v>334</v>
      </c>
    </row>
    <row r="68" spans="2:9" x14ac:dyDescent="0.3">
      <c r="B68" s="1" t="s">
        <v>266</v>
      </c>
      <c r="C68" s="1" t="s">
        <v>267</v>
      </c>
      <c r="D68" s="1" t="s">
        <v>268</v>
      </c>
      <c r="E68" s="1">
        <v>1</v>
      </c>
      <c r="F68" s="1">
        <v>10</v>
      </c>
      <c r="I68" s="1" t="s">
        <v>340</v>
      </c>
    </row>
    <row r="69" spans="2:9" x14ac:dyDescent="0.3">
      <c r="B69" s="1" t="s">
        <v>371</v>
      </c>
      <c r="C69" s="1" t="s">
        <v>365</v>
      </c>
      <c r="D69" s="1" t="s">
        <v>372</v>
      </c>
      <c r="E69" s="1">
        <v>2</v>
      </c>
      <c r="F69" s="1">
        <v>100</v>
      </c>
      <c r="I69" s="1" t="s">
        <v>342</v>
      </c>
    </row>
    <row r="70" spans="2:9" x14ac:dyDescent="0.3">
      <c r="B70" s="1" t="s">
        <v>474</v>
      </c>
      <c r="C70" s="1" t="s">
        <v>475</v>
      </c>
      <c r="D70" s="1" t="s">
        <v>476</v>
      </c>
      <c r="E70" s="1">
        <v>1</v>
      </c>
      <c r="F70" s="1">
        <v>0</v>
      </c>
      <c r="I70" s="1" t="s">
        <v>343</v>
      </c>
    </row>
    <row r="71" spans="2:9" x14ac:dyDescent="0.3">
      <c r="B71" s="1" t="s">
        <v>382</v>
      </c>
      <c r="C71" s="1" t="s">
        <v>151</v>
      </c>
      <c r="D71" s="1" t="s">
        <v>383</v>
      </c>
      <c r="E71" s="1">
        <v>2</v>
      </c>
      <c r="F71" s="1">
        <v>100</v>
      </c>
      <c r="I71" s="1" t="s">
        <v>344</v>
      </c>
    </row>
    <row r="72" spans="2:9" x14ac:dyDescent="0.3">
      <c r="B72" s="1" t="s">
        <v>298</v>
      </c>
      <c r="C72" s="1" t="s">
        <v>207</v>
      </c>
      <c r="D72" s="1" t="s">
        <v>299</v>
      </c>
      <c r="E72" s="1">
        <v>1</v>
      </c>
      <c r="F72" s="1">
        <v>100</v>
      </c>
      <c r="I72" s="1" t="s">
        <v>349</v>
      </c>
    </row>
    <row r="73" spans="2:9" x14ac:dyDescent="0.3">
      <c r="B73" s="1" t="s">
        <v>327</v>
      </c>
      <c r="C73" s="1" t="s">
        <v>161</v>
      </c>
      <c r="D73" s="1" t="s">
        <v>328</v>
      </c>
      <c r="E73" s="1">
        <v>1</v>
      </c>
      <c r="F73" s="1">
        <v>10</v>
      </c>
      <c r="I73" s="1" t="s">
        <v>351</v>
      </c>
    </row>
    <row r="74" spans="2:9" x14ac:dyDescent="0.3">
      <c r="B74" s="1" t="s">
        <v>281</v>
      </c>
      <c r="C74" s="1" t="s">
        <v>215</v>
      </c>
      <c r="D74" s="1" t="s">
        <v>216</v>
      </c>
      <c r="E74" s="1">
        <v>0</v>
      </c>
      <c r="F74" s="1">
        <v>10</v>
      </c>
      <c r="I74" s="1" t="s">
        <v>357</v>
      </c>
    </row>
    <row r="75" spans="2:9" x14ac:dyDescent="0.3">
      <c r="B75" s="1" t="s">
        <v>300</v>
      </c>
      <c r="C75" s="1" t="s">
        <v>161</v>
      </c>
      <c r="D75" s="1" t="s">
        <v>301</v>
      </c>
      <c r="E75" s="1">
        <v>0</v>
      </c>
      <c r="F75" s="1">
        <v>10</v>
      </c>
      <c r="I75" s="1" t="s">
        <v>358</v>
      </c>
    </row>
    <row r="76" spans="2:9" x14ac:dyDescent="0.3">
      <c r="B76" s="1" t="s">
        <v>401</v>
      </c>
      <c r="C76" s="1" t="s">
        <v>215</v>
      </c>
      <c r="D76" s="1" t="s">
        <v>216</v>
      </c>
      <c r="E76" s="1">
        <v>1</v>
      </c>
      <c r="F76" s="1">
        <v>10</v>
      </c>
      <c r="I76" s="1" t="s">
        <v>361</v>
      </c>
    </row>
    <row r="77" spans="2:9" x14ac:dyDescent="0.3">
      <c r="B77" s="1" t="s">
        <v>384</v>
      </c>
      <c r="C77" s="1" t="s">
        <v>161</v>
      </c>
      <c r="D77" s="1" t="s">
        <v>385</v>
      </c>
      <c r="E77" s="1">
        <v>2</v>
      </c>
      <c r="F77" s="1">
        <v>10</v>
      </c>
      <c r="I77" s="1" t="s">
        <v>362</v>
      </c>
    </row>
    <row r="78" spans="2:9" x14ac:dyDescent="0.3">
      <c r="B78" s="1" t="s">
        <v>361</v>
      </c>
      <c r="C78" s="1" t="s">
        <v>215</v>
      </c>
      <c r="D78" s="1" t="s">
        <v>297</v>
      </c>
      <c r="E78" s="1">
        <v>0</v>
      </c>
      <c r="F78" s="1">
        <v>0</v>
      </c>
      <c r="I78" s="1" t="s">
        <v>364</v>
      </c>
    </row>
    <row r="79" spans="2:9" x14ac:dyDescent="0.3">
      <c r="B79" s="1" t="s">
        <v>303</v>
      </c>
      <c r="C79" s="1" t="s">
        <v>161</v>
      </c>
      <c r="D79" s="1" t="s">
        <v>181</v>
      </c>
      <c r="E79" s="1">
        <v>2</v>
      </c>
      <c r="F79" s="1">
        <v>10</v>
      </c>
      <c r="I79" s="1" t="s">
        <v>367</v>
      </c>
    </row>
    <row r="80" spans="2:9" x14ac:dyDescent="0.3">
      <c r="B80" s="1" t="s">
        <v>251</v>
      </c>
      <c r="C80" s="1" t="s">
        <v>161</v>
      </c>
      <c r="D80" s="1" t="s">
        <v>252</v>
      </c>
      <c r="E80" s="1">
        <v>1</v>
      </c>
      <c r="F80" s="1">
        <v>10</v>
      </c>
      <c r="I80" s="1" t="s">
        <v>369</v>
      </c>
    </row>
    <row r="81" spans="2:9" x14ac:dyDescent="0.3">
      <c r="B81" s="1" t="s">
        <v>395</v>
      </c>
      <c r="C81" s="1" t="s">
        <v>335</v>
      </c>
      <c r="D81" s="1" t="s">
        <v>396</v>
      </c>
      <c r="E81" s="1">
        <v>1</v>
      </c>
      <c r="F81" s="1">
        <v>10</v>
      </c>
      <c r="I81" s="1" t="s">
        <v>371</v>
      </c>
    </row>
    <row r="82" spans="2:9" x14ac:dyDescent="0.3">
      <c r="B82" s="1" t="s">
        <v>354</v>
      </c>
      <c r="C82" s="1" t="s">
        <v>355</v>
      </c>
      <c r="D82" s="1" t="s">
        <v>356</v>
      </c>
      <c r="E82" s="1">
        <v>2</v>
      </c>
      <c r="F82" s="1">
        <v>10</v>
      </c>
      <c r="I82" s="1" t="s">
        <v>373</v>
      </c>
    </row>
    <row r="83" spans="2:9" x14ac:dyDescent="0.3">
      <c r="B83" s="1" t="s">
        <v>320</v>
      </c>
      <c r="C83" s="1" t="s">
        <v>321</v>
      </c>
      <c r="D83" s="1" t="s">
        <v>322</v>
      </c>
      <c r="E83" s="1">
        <v>2</v>
      </c>
      <c r="F83" s="1">
        <v>10</v>
      </c>
      <c r="I83" s="1" t="s">
        <v>377</v>
      </c>
    </row>
    <row r="84" spans="2:9" x14ac:dyDescent="0.3">
      <c r="B84" s="1" t="s">
        <v>379</v>
      </c>
      <c r="C84" s="1" t="s">
        <v>161</v>
      </c>
      <c r="D84" s="1" t="s">
        <v>181</v>
      </c>
      <c r="E84" s="1">
        <v>1</v>
      </c>
      <c r="F84" s="1">
        <v>10</v>
      </c>
      <c r="I84" s="1" t="s">
        <v>380</v>
      </c>
    </row>
    <row r="85" spans="2:9" x14ac:dyDescent="0.3">
      <c r="B85" s="1" t="s">
        <v>261</v>
      </c>
      <c r="C85" s="1" t="s">
        <v>146</v>
      </c>
      <c r="D85" s="1" t="s">
        <v>262</v>
      </c>
      <c r="E85" s="1">
        <v>0</v>
      </c>
      <c r="F85" s="1">
        <v>10</v>
      </c>
      <c r="I85" s="1" t="s">
        <v>378</v>
      </c>
    </row>
    <row r="86" spans="2:9" x14ac:dyDescent="0.3">
      <c r="B86" s="1" t="s">
        <v>412</v>
      </c>
      <c r="C86" s="1" t="s">
        <v>413</v>
      </c>
      <c r="D86" s="1" t="s">
        <v>414</v>
      </c>
      <c r="E86" s="1">
        <v>1</v>
      </c>
      <c r="F86" s="1">
        <v>100</v>
      </c>
      <c r="I86" s="1" t="s">
        <v>379</v>
      </c>
    </row>
    <row r="87" spans="2:9" x14ac:dyDescent="0.3">
      <c r="B87" s="1" t="s">
        <v>306</v>
      </c>
      <c r="C87" s="1" t="s">
        <v>207</v>
      </c>
      <c r="D87" s="1" t="s">
        <v>307</v>
      </c>
      <c r="E87" s="1">
        <v>1</v>
      </c>
      <c r="F87" s="1">
        <v>100</v>
      </c>
      <c r="I87" s="1" t="s">
        <v>382</v>
      </c>
    </row>
    <row r="88" spans="2:9" x14ac:dyDescent="0.3">
      <c r="B88" s="1" t="s">
        <v>429</v>
      </c>
      <c r="C88" s="1" t="s">
        <v>161</v>
      </c>
      <c r="D88" s="1" t="s">
        <v>430</v>
      </c>
      <c r="E88" s="1">
        <v>1</v>
      </c>
      <c r="F88" s="1">
        <v>100</v>
      </c>
      <c r="I88" s="1" t="s">
        <v>384</v>
      </c>
    </row>
    <row r="89" spans="2:9" x14ac:dyDescent="0.3">
      <c r="B89" s="1" t="s">
        <v>263</v>
      </c>
      <c r="C89" s="1" t="s">
        <v>151</v>
      </c>
      <c r="D89" s="1" t="s">
        <v>264</v>
      </c>
      <c r="E89" s="1">
        <v>0</v>
      </c>
      <c r="F89" s="1">
        <v>10</v>
      </c>
      <c r="I89" s="1" t="s">
        <v>386</v>
      </c>
    </row>
    <row r="90" spans="2:9" x14ac:dyDescent="0.3">
      <c r="B90" s="1" t="s">
        <v>344</v>
      </c>
      <c r="C90" s="1" t="s">
        <v>345</v>
      </c>
      <c r="D90" s="1" t="s">
        <v>346</v>
      </c>
      <c r="E90" s="1">
        <v>2</v>
      </c>
      <c r="F90" s="1">
        <v>10</v>
      </c>
      <c r="I90" s="1" t="s">
        <v>389</v>
      </c>
    </row>
    <row r="91" spans="2:9" x14ac:dyDescent="0.3">
      <c r="B91" s="1" t="s">
        <v>194</v>
      </c>
      <c r="C91" s="1" t="s">
        <v>161</v>
      </c>
      <c r="D91" s="1" t="s">
        <v>195</v>
      </c>
      <c r="E91" s="1">
        <v>0</v>
      </c>
      <c r="F91" s="1">
        <v>10</v>
      </c>
      <c r="I91" s="1" t="s">
        <v>393</v>
      </c>
    </row>
    <row r="92" spans="2:9" x14ac:dyDescent="0.3">
      <c r="B92" s="1" t="s">
        <v>311</v>
      </c>
      <c r="C92" s="1" t="s">
        <v>161</v>
      </c>
      <c r="D92" s="1" t="s">
        <v>195</v>
      </c>
      <c r="E92" s="1">
        <v>1</v>
      </c>
      <c r="F92" s="1">
        <v>10</v>
      </c>
      <c r="I92" s="1" t="s">
        <v>395</v>
      </c>
    </row>
    <row r="93" spans="2:9" x14ac:dyDescent="0.3">
      <c r="B93" s="1" t="s">
        <v>447</v>
      </c>
      <c r="C93" s="1" t="s">
        <v>161</v>
      </c>
      <c r="D93" s="1" t="s">
        <v>195</v>
      </c>
      <c r="E93" s="1">
        <v>2</v>
      </c>
      <c r="F93" s="1">
        <v>10</v>
      </c>
      <c r="I93" s="1" t="s">
        <v>397</v>
      </c>
    </row>
    <row r="94" spans="2:9" x14ac:dyDescent="0.3">
      <c r="B94" s="1" t="s">
        <v>403</v>
      </c>
      <c r="C94" s="1" t="s">
        <v>161</v>
      </c>
      <c r="D94" s="1" t="s">
        <v>162</v>
      </c>
      <c r="E94" s="1">
        <v>1</v>
      </c>
      <c r="F94" s="1">
        <v>10</v>
      </c>
      <c r="I94" s="1" t="s">
        <v>399</v>
      </c>
    </row>
    <row r="95" spans="2:9" x14ac:dyDescent="0.3">
      <c r="B95" s="1" t="s">
        <v>150</v>
      </c>
      <c r="C95" s="1" t="s">
        <v>151</v>
      </c>
      <c r="D95" s="1" t="s">
        <v>152</v>
      </c>
      <c r="E95" s="1">
        <v>1</v>
      </c>
      <c r="F95" s="1">
        <v>10</v>
      </c>
      <c r="I95" s="1" t="s">
        <v>403</v>
      </c>
    </row>
    <row r="96" spans="2:9" x14ac:dyDescent="0.3">
      <c r="B96" s="1" t="s">
        <v>463</v>
      </c>
      <c r="C96" s="1" t="s">
        <v>464</v>
      </c>
      <c r="D96" s="1" t="s">
        <v>465</v>
      </c>
      <c r="E96" s="1">
        <v>2</v>
      </c>
      <c r="F96" s="1">
        <v>10</v>
      </c>
      <c r="I96" s="1" t="s">
        <v>405</v>
      </c>
    </row>
    <row r="97" spans="2:9" x14ac:dyDescent="0.3">
      <c r="B97" s="1" t="s">
        <v>315</v>
      </c>
      <c r="C97" s="1" t="s">
        <v>218</v>
      </c>
      <c r="D97" s="1" t="s">
        <v>219</v>
      </c>
      <c r="E97" s="1">
        <v>3</v>
      </c>
      <c r="F97" s="1">
        <v>10</v>
      </c>
      <c r="I97" s="1" t="s">
        <v>407</v>
      </c>
    </row>
    <row r="98" spans="2:9" x14ac:dyDescent="0.3">
      <c r="B98" s="1" t="s">
        <v>342</v>
      </c>
      <c r="C98" s="1" t="s">
        <v>161</v>
      </c>
      <c r="D98" s="1" t="s">
        <v>301</v>
      </c>
      <c r="E98" s="1">
        <v>0</v>
      </c>
      <c r="F98" s="1">
        <v>10</v>
      </c>
      <c r="I98" s="1" t="s">
        <v>408</v>
      </c>
    </row>
    <row r="99" spans="2:9" x14ac:dyDescent="0.3">
      <c r="B99" s="1" t="s">
        <v>280</v>
      </c>
      <c r="C99" s="1" t="s">
        <v>192</v>
      </c>
      <c r="D99" s="1" t="s">
        <v>193</v>
      </c>
      <c r="E99" s="1">
        <v>1</v>
      </c>
      <c r="F99" s="1">
        <v>10</v>
      </c>
      <c r="I99" s="1" t="s">
        <v>410</v>
      </c>
    </row>
    <row r="100" spans="2:9" x14ac:dyDescent="0.3">
      <c r="B100" s="1" t="s">
        <v>448</v>
      </c>
      <c r="C100" s="1" t="s">
        <v>161</v>
      </c>
      <c r="D100" s="1" t="s">
        <v>301</v>
      </c>
      <c r="E100" s="1">
        <v>0</v>
      </c>
      <c r="F100" s="1">
        <v>10</v>
      </c>
      <c r="I100" s="1" t="s">
        <v>412</v>
      </c>
    </row>
    <row r="101" spans="2:9" x14ac:dyDescent="0.3">
      <c r="B101" s="1" t="s">
        <v>402</v>
      </c>
      <c r="C101" s="1" t="s">
        <v>215</v>
      </c>
      <c r="D101" s="1" t="s">
        <v>216</v>
      </c>
      <c r="E101" s="1">
        <v>1</v>
      </c>
      <c r="F101" s="1">
        <v>10</v>
      </c>
      <c r="I101" s="1" t="s">
        <v>415</v>
      </c>
    </row>
    <row r="102" spans="2:9" x14ac:dyDescent="0.3">
      <c r="B102" s="1" t="s">
        <v>308</v>
      </c>
      <c r="C102" s="1" t="s">
        <v>309</v>
      </c>
      <c r="D102" s="1" t="s">
        <v>310</v>
      </c>
      <c r="E102" s="1">
        <v>2</v>
      </c>
      <c r="F102" s="1">
        <v>100</v>
      </c>
      <c r="I102" s="1" t="s">
        <v>417</v>
      </c>
    </row>
    <row r="103" spans="2:9" x14ac:dyDescent="0.3">
      <c r="B103" s="1" t="s">
        <v>169</v>
      </c>
      <c r="C103" s="1" t="s">
        <v>161</v>
      </c>
      <c r="D103" s="1" t="s">
        <v>170</v>
      </c>
      <c r="E103" s="1">
        <v>0</v>
      </c>
      <c r="F103" s="1">
        <v>10</v>
      </c>
      <c r="I103" s="1" t="s">
        <v>424</v>
      </c>
    </row>
    <row r="104" spans="2:9" x14ac:dyDescent="0.3">
      <c r="B104" s="1" t="s">
        <v>293</v>
      </c>
      <c r="C104" s="1" t="s">
        <v>215</v>
      </c>
      <c r="D104" s="1" t="s">
        <v>216</v>
      </c>
      <c r="E104" s="1">
        <v>1</v>
      </c>
      <c r="F104" s="1">
        <v>10</v>
      </c>
      <c r="I104" s="1" t="s">
        <v>425</v>
      </c>
    </row>
    <row r="105" spans="2:9" x14ac:dyDescent="0.3">
      <c r="B105" s="1" t="s">
        <v>277</v>
      </c>
      <c r="C105" s="1" t="s">
        <v>278</v>
      </c>
      <c r="D105" s="1" t="s">
        <v>279</v>
      </c>
      <c r="E105" s="1">
        <v>2</v>
      </c>
      <c r="F105" s="1">
        <v>100</v>
      </c>
      <c r="I105" s="1" t="s">
        <v>426</v>
      </c>
    </row>
    <row r="106" spans="2:9" x14ac:dyDescent="0.3">
      <c r="B106" s="1" t="s">
        <v>377</v>
      </c>
      <c r="C106" s="1" t="s">
        <v>161</v>
      </c>
      <c r="D106" s="1" t="s">
        <v>170</v>
      </c>
      <c r="E106" s="1">
        <v>2</v>
      </c>
      <c r="F106" s="1">
        <v>10</v>
      </c>
      <c r="I106" s="1" t="s">
        <v>427</v>
      </c>
    </row>
    <row r="107" spans="2:9" x14ac:dyDescent="0.3">
      <c r="B107" s="1" t="s">
        <v>421</v>
      </c>
      <c r="C107" s="1" t="s">
        <v>422</v>
      </c>
      <c r="D107" s="1" t="s">
        <v>423</v>
      </c>
      <c r="E107" s="1">
        <v>1</v>
      </c>
      <c r="F107" s="1">
        <v>100</v>
      </c>
      <c r="I107" s="1" t="s">
        <v>429</v>
      </c>
    </row>
    <row r="108" spans="2:9" x14ac:dyDescent="0.3">
      <c r="B108" s="1" t="s">
        <v>214</v>
      </c>
      <c r="C108" s="1" t="s">
        <v>215</v>
      </c>
      <c r="D108" s="1" t="s">
        <v>216</v>
      </c>
      <c r="E108" s="1">
        <v>0</v>
      </c>
      <c r="F108" s="1">
        <v>10</v>
      </c>
      <c r="I108" s="1" t="s">
        <v>431</v>
      </c>
    </row>
    <row r="109" spans="2:9" x14ac:dyDescent="0.3">
      <c r="B109" s="1" t="s">
        <v>206</v>
      </c>
      <c r="C109" s="1" t="s">
        <v>161</v>
      </c>
      <c r="D109" s="1" t="s">
        <v>181</v>
      </c>
      <c r="E109" s="1">
        <v>1</v>
      </c>
      <c r="F109" s="1">
        <v>10</v>
      </c>
      <c r="I109" s="1" t="s">
        <v>432</v>
      </c>
    </row>
    <row r="110" spans="2:9" x14ac:dyDescent="0.3">
      <c r="B110" s="1" t="s">
        <v>435</v>
      </c>
      <c r="C110" s="1" t="s">
        <v>161</v>
      </c>
      <c r="D110" s="1" t="s">
        <v>430</v>
      </c>
      <c r="E110" s="1">
        <v>1</v>
      </c>
      <c r="F110" s="1">
        <v>100</v>
      </c>
      <c r="I110" s="1" t="s">
        <v>434</v>
      </c>
    </row>
    <row r="111" spans="2:9" x14ac:dyDescent="0.3">
      <c r="B111" s="1" t="s">
        <v>265</v>
      </c>
      <c r="C111" s="1" t="s">
        <v>230</v>
      </c>
      <c r="D111" s="1" t="s">
        <v>231</v>
      </c>
      <c r="E111" s="1">
        <v>1</v>
      </c>
      <c r="F111" s="1">
        <v>10</v>
      </c>
      <c r="I111" s="1" t="s">
        <v>435</v>
      </c>
    </row>
    <row r="112" spans="2:9" x14ac:dyDescent="0.3">
      <c r="B112" s="1" t="s">
        <v>243</v>
      </c>
      <c r="C112" s="1" t="s">
        <v>161</v>
      </c>
      <c r="D112" s="1" t="s">
        <v>195</v>
      </c>
      <c r="E112" s="1">
        <v>2</v>
      </c>
      <c r="F112" s="1">
        <v>10</v>
      </c>
      <c r="I112" s="1" t="s">
        <v>436</v>
      </c>
    </row>
    <row r="113" spans="2:9" x14ac:dyDescent="0.3">
      <c r="B113" s="1" t="s">
        <v>432</v>
      </c>
      <c r="C113" s="1" t="s">
        <v>161</v>
      </c>
      <c r="D113" s="1" t="s">
        <v>433</v>
      </c>
      <c r="E113" s="1">
        <v>0</v>
      </c>
      <c r="F113" s="1">
        <v>10</v>
      </c>
      <c r="I113" s="1" t="s">
        <v>437</v>
      </c>
    </row>
    <row r="114" spans="2:9" x14ac:dyDescent="0.3">
      <c r="B114" s="1" t="s">
        <v>325</v>
      </c>
      <c r="C114" s="1" t="s">
        <v>161</v>
      </c>
      <c r="D114" s="1" t="s">
        <v>326</v>
      </c>
      <c r="E114" s="1">
        <v>0</v>
      </c>
      <c r="F114" s="1">
        <v>10</v>
      </c>
      <c r="I114" s="1" t="s">
        <v>438</v>
      </c>
    </row>
    <row r="115" spans="2:9" x14ac:dyDescent="0.3">
      <c r="B115" s="1" t="s">
        <v>260</v>
      </c>
      <c r="C115" s="1" t="s">
        <v>161</v>
      </c>
      <c r="D115" s="1" t="s">
        <v>195</v>
      </c>
      <c r="E115" s="1">
        <v>3</v>
      </c>
      <c r="F115" s="1">
        <v>10</v>
      </c>
      <c r="I115" s="1" t="s">
        <v>440</v>
      </c>
    </row>
    <row r="116" spans="2:9" x14ac:dyDescent="0.3">
      <c r="B116" s="1" t="s">
        <v>332</v>
      </c>
      <c r="C116" s="1" t="s">
        <v>218</v>
      </c>
      <c r="D116" s="1" t="s">
        <v>333</v>
      </c>
      <c r="E116" s="1">
        <v>2</v>
      </c>
      <c r="F116" s="1">
        <v>100</v>
      </c>
      <c r="I116" s="1" t="s">
        <v>442</v>
      </c>
    </row>
    <row r="117" spans="2:9" x14ac:dyDescent="0.3">
      <c r="B117" s="1" t="s">
        <v>175</v>
      </c>
      <c r="C117" s="1" t="s">
        <v>176</v>
      </c>
      <c r="D117" s="1" t="s">
        <v>177</v>
      </c>
      <c r="E117" s="1">
        <v>0</v>
      </c>
      <c r="F117" s="1">
        <v>100</v>
      </c>
      <c r="I117" s="1" t="s">
        <v>444</v>
      </c>
    </row>
    <row r="118" spans="2:9" x14ac:dyDescent="0.3">
      <c r="B118" s="1" t="s">
        <v>209</v>
      </c>
      <c r="C118" s="1" t="s">
        <v>161</v>
      </c>
      <c r="D118" s="1" t="s">
        <v>195</v>
      </c>
      <c r="E118" s="1">
        <v>1</v>
      </c>
      <c r="F118" s="1">
        <v>10</v>
      </c>
      <c r="I118" s="1" t="s">
        <v>446</v>
      </c>
    </row>
    <row r="119" spans="2:9" x14ac:dyDescent="0.3">
      <c r="B119" s="1" t="s">
        <v>477</v>
      </c>
      <c r="C119" s="1" t="s">
        <v>161</v>
      </c>
      <c r="D119" s="1" t="s">
        <v>181</v>
      </c>
      <c r="E119" s="1">
        <v>2</v>
      </c>
      <c r="F119" s="1">
        <v>10</v>
      </c>
      <c r="I119" s="1" t="s">
        <v>447</v>
      </c>
    </row>
    <row r="120" spans="2:9" x14ac:dyDescent="0.3">
      <c r="B120" s="1" t="s">
        <v>316</v>
      </c>
      <c r="C120" s="1" t="s">
        <v>173</v>
      </c>
      <c r="D120" s="1" t="s">
        <v>317</v>
      </c>
      <c r="E120" s="1">
        <v>0</v>
      </c>
      <c r="F120" s="1">
        <v>100</v>
      </c>
      <c r="I120" s="1" t="s">
        <v>448</v>
      </c>
    </row>
    <row r="121" spans="2:9" x14ac:dyDescent="0.3">
      <c r="B121" s="1" t="s">
        <v>343</v>
      </c>
      <c r="C121" s="1" t="s">
        <v>161</v>
      </c>
      <c r="D121" s="1" t="s">
        <v>170</v>
      </c>
      <c r="E121" s="1">
        <v>3</v>
      </c>
      <c r="F121" s="1">
        <v>10</v>
      </c>
      <c r="I121" s="1" t="s">
        <v>459</v>
      </c>
    </row>
    <row r="122" spans="2:9" x14ac:dyDescent="0.3">
      <c r="B122" s="1" t="s">
        <v>404</v>
      </c>
      <c r="C122" s="1" t="s">
        <v>146</v>
      </c>
      <c r="D122" s="1" t="s">
        <v>262</v>
      </c>
      <c r="E122" s="1">
        <v>1</v>
      </c>
      <c r="F122" s="1">
        <v>10</v>
      </c>
      <c r="I122" s="1" t="s">
        <v>460</v>
      </c>
    </row>
    <row r="123" spans="2:9" x14ac:dyDescent="0.3">
      <c r="B123" s="1" t="s">
        <v>417</v>
      </c>
      <c r="C123" s="1" t="s">
        <v>161</v>
      </c>
      <c r="D123" s="1" t="s">
        <v>195</v>
      </c>
      <c r="E123" s="1">
        <v>1</v>
      </c>
      <c r="F123" s="1">
        <v>10</v>
      </c>
      <c r="I123" s="1" t="s">
        <v>455</v>
      </c>
    </row>
    <row r="124" spans="2:9" x14ac:dyDescent="0.3">
      <c r="B124" s="1" t="s">
        <v>199</v>
      </c>
      <c r="C124" s="1" t="s">
        <v>161</v>
      </c>
      <c r="D124" s="1" t="s">
        <v>195</v>
      </c>
      <c r="E124" s="1">
        <v>1</v>
      </c>
      <c r="F124" s="1">
        <v>10</v>
      </c>
      <c r="I124" s="1" t="s">
        <v>461</v>
      </c>
    </row>
    <row r="125" spans="2:9" x14ac:dyDescent="0.3">
      <c r="B125" s="1" t="s">
        <v>302</v>
      </c>
      <c r="C125" s="1" t="s">
        <v>161</v>
      </c>
      <c r="D125" s="1" t="s">
        <v>195</v>
      </c>
      <c r="E125" s="1">
        <v>1</v>
      </c>
      <c r="F125" s="1">
        <v>10</v>
      </c>
      <c r="I125" s="1" t="s">
        <v>467</v>
      </c>
    </row>
    <row r="126" spans="2:9" x14ac:dyDescent="0.3">
      <c r="B126" s="1" t="s">
        <v>437</v>
      </c>
      <c r="C126" s="1" t="s">
        <v>161</v>
      </c>
      <c r="D126" s="1" t="s">
        <v>195</v>
      </c>
      <c r="E126" s="1">
        <v>1</v>
      </c>
      <c r="F126" s="1">
        <v>10</v>
      </c>
      <c r="I126" s="1" t="s">
        <v>472</v>
      </c>
    </row>
    <row r="127" spans="2:9" x14ac:dyDescent="0.3">
      <c r="B127" s="1" t="s">
        <v>197</v>
      </c>
      <c r="C127" s="1" t="s">
        <v>146</v>
      </c>
      <c r="D127" s="1" t="s">
        <v>198</v>
      </c>
      <c r="E127" s="1">
        <v>0</v>
      </c>
      <c r="F127" s="1">
        <v>10</v>
      </c>
      <c r="I127" s="1" t="s">
        <v>474</v>
      </c>
    </row>
    <row r="128" spans="2:9" x14ac:dyDescent="0.3">
      <c r="B128" s="1" t="s">
        <v>469</v>
      </c>
      <c r="C128" s="1" t="s">
        <v>218</v>
      </c>
      <c r="D128" s="1" t="s">
        <v>470</v>
      </c>
      <c r="E128" s="1">
        <v>0</v>
      </c>
      <c r="F128" s="1">
        <v>100</v>
      </c>
      <c r="I128" s="1" t="s">
        <v>477</v>
      </c>
    </row>
    <row r="129" spans="2:9" x14ac:dyDescent="0.3">
      <c r="B129" s="1" t="s">
        <v>440</v>
      </c>
      <c r="C129" s="1" t="s">
        <v>218</v>
      </c>
      <c r="D129" s="1" t="s">
        <v>441</v>
      </c>
      <c r="E129" s="1">
        <v>0</v>
      </c>
      <c r="F129" s="1">
        <v>10</v>
      </c>
      <c r="I129" s="1" t="s">
        <v>478</v>
      </c>
    </row>
    <row r="130" spans="2:9" x14ac:dyDescent="0.3">
      <c r="B130" s="1" t="s">
        <v>376</v>
      </c>
      <c r="C130" s="1" t="s">
        <v>146</v>
      </c>
      <c r="D130" s="1" t="s">
        <v>262</v>
      </c>
      <c r="E130" s="1">
        <v>2</v>
      </c>
      <c r="F130" s="1">
        <v>10</v>
      </c>
      <c r="I130" s="1" t="s">
        <v>480</v>
      </c>
    </row>
    <row r="131" spans="2:9" x14ac:dyDescent="0.3">
      <c r="B131" s="1" t="s">
        <v>364</v>
      </c>
      <c r="C131" s="1" t="s">
        <v>365</v>
      </c>
      <c r="D131" s="1" t="s">
        <v>366</v>
      </c>
      <c r="E131" s="1">
        <v>2</v>
      </c>
      <c r="F131" s="1">
        <v>100</v>
      </c>
    </row>
    <row r="132" spans="2:9" x14ac:dyDescent="0.3">
      <c r="B132" s="1" t="s">
        <v>399</v>
      </c>
      <c r="C132" s="1" t="s">
        <v>230</v>
      </c>
      <c r="D132" s="1" t="s">
        <v>400</v>
      </c>
      <c r="E132" s="1">
        <v>1</v>
      </c>
      <c r="F132" s="1">
        <v>10</v>
      </c>
    </row>
    <row r="133" spans="2:9" x14ac:dyDescent="0.3">
      <c r="B133" s="1" t="s">
        <v>471</v>
      </c>
      <c r="C133" s="1" t="s">
        <v>218</v>
      </c>
      <c r="D133" s="1" t="s">
        <v>470</v>
      </c>
      <c r="E133" s="1">
        <v>0</v>
      </c>
      <c r="F133" s="1">
        <v>100</v>
      </c>
    </row>
    <row r="134" spans="2:9" x14ac:dyDescent="0.3">
      <c r="B134" s="1" t="s">
        <v>229</v>
      </c>
      <c r="C134" s="1" t="s">
        <v>230</v>
      </c>
      <c r="D134" s="1" t="s">
        <v>231</v>
      </c>
      <c r="E134" s="1">
        <v>2</v>
      </c>
      <c r="F134" s="1">
        <v>10</v>
      </c>
    </row>
    <row r="135" spans="2:9" x14ac:dyDescent="0.3">
      <c r="B135" s="1" t="s">
        <v>196</v>
      </c>
      <c r="C135" s="1" t="s">
        <v>192</v>
      </c>
      <c r="D135" s="1" t="s">
        <v>193</v>
      </c>
      <c r="E135" s="1">
        <v>0</v>
      </c>
      <c r="F135" s="1">
        <v>10</v>
      </c>
    </row>
    <row r="136" spans="2:9" x14ac:dyDescent="0.3">
      <c r="B136" s="1" t="s">
        <v>160</v>
      </c>
      <c r="C136" s="1" t="s">
        <v>161</v>
      </c>
      <c r="D136" s="1" t="s">
        <v>162</v>
      </c>
      <c r="E136" s="1">
        <v>2</v>
      </c>
      <c r="F136" s="1">
        <v>10</v>
      </c>
    </row>
    <row r="137" spans="2:9" x14ac:dyDescent="0.3">
      <c r="B137" s="1" t="s">
        <v>166</v>
      </c>
      <c r="C137" s="1" t="s">
        <v>164</v>
      </c>
      <c r="D137" s="1" t="s">
        <v>167</v>
      </c>
      <c r="E137" s="1">
        <v>3</v>
      </c>
      <c r="F137" s="1">
        <v>100</v>
      </c>
    </row>
    <row r="138" spans="2:9" x14ac:dyDescent="0.3">
      <c r="B138" s="1" t="s">
        <v>466</v>
      </c>
      <c r="C138" s="1" t="s">
        <v>453</v>
      </c>
      <c r="D138" s="1" t="s">
        <v>454</v>
      </c>
      <c r="E138" s="1">
        <v>2</v>
      </c>
      <c r="F138" s="1">
        <v>10</v>
      </c>
    </row>
    <row r="139" spans="2:9" x14ac:dyDescent="0.3">
      <c r="B139" s="1" t="s">
        <v>442</v>
      </c>
      <c r="C139" s="1" t="s">
        <v>161</v>
      </c>
      <c r="D139" s="1" t="s">
        <v>443</v>
      </c>
      <c r="E139" s="1">
        <v>0</v>
      </c>
      <c r="F139" s="1">
        <v>0</v>
      </c>
    </row>
    <row r="140" spans="2:9" x14ac:dyDescent="0.3">
      <c r="B140" s="1" t="s">
        <v>391</v>
      </c>
      <c r="C140" s="1" t="s">
        <v>225</v>
      </c>
      <c r="D140" s="1" t="s">
        <v>313</v>
      </c>
      <c r="E140" s="1">
        <v>2</v>
      </c>
      <c r="F140" s="1">
        <v>10</v>
      </c>
    </row>
    <row r="141" spans="2:9" x14ac:dyDescent="0.3">
      <c r="B141" s="1" t="s">
        <v>397</v>
      </c>
      <c r="C141" s="1" t="s">
        <v>225</v>
      </c>
      <c r="D141" s="1" t="s">
        <v>398</v>
      </c>
      <c r="E141" s="1">
        <v>0</v>
      </c>
      <c r="F141" s="1">
        <v>10</v>
      </c>
    </row>
    <row r="142" spans="2:9" x14ac:dyDescent="0.3">
      <c r="B142" s="1" t="s">
        <v>172</v>
      </c>
      <c r="C142" s="1" t="s">
        <v>173</v>
      </c>
      <c r="D142" s="1" t="s">
        <v>174</v>
      </c>
      <c r="E142" s="1">
        <v>0</v>
      </c>
      <c r="F142" s="1">
        <v>100</v>
      </c>
    </row>
    <row r="143" spans="2:9" x14ac:dyDescent="0.3">
      <c r="B143" s="1" t="s">
        <v>221</v>
      </c>
      <c r="C143" s="1" t="s">
        <v>222</v>
      </c>
      <c r="D143" s="1" t="s">
        <v>223</v>
      </c>
      <c r="E143" s="1">
        <v>2</v>
      </c>
      <c r="F143" s="1">
        <v>10</v>
      </c>
    </row>
    <row r="144" spans="2:9" x14ac:dyDescent="0.3">
      <c r="B144" s="1" t="s">
        <v>163</v>
      </c>
      <c r="C144" s="1" t="s">
        <v>164</v>
      </c>
      <c r="D144" s="1" t="s">
        <v>165</v>
      </c>
      <c r="E144" s="1">
        <v>1</v>
      </c>
      <c r="F144" s="1">
        <v>100</v>
      </c>
    </row>
    <row r="145" spans="2:6" x14ac:dyDescent="0.3">
      <c r="B145" s="1" t="s">
        <v>249</v>
      </c>
      <c r="C145" s="1" t="s">
        <v>173</v>
      </c>
      <c r="D145" s="1" t="s">
        <v>174</v>
      </c>
      <c r="E145" s="1">
        <v>0</v>
      </c>
      <c r="F145" s="1">
        <v>100</v>
      </c>
    </row>
    <row r="146" spans="2:6" x14ac:dyDescent="0.3">
      <c r="B146" s="1" t="s">
        <v>424</v>
      </c>
      <c r="C146" s="1" t="s">
        <v>225</v>
      </c>
      <c r="D146" s="1" t="s">
        <v>398</v>
      </c>
      <c r="E146" s="1">
        <v>1</v>
      </c>
      <c r="F146" s="1">
        <v>10</v>
      </c>
    </row>
    <row r="147" spans="2:6" x14ac:dyDescent="0.3">
      <c r="B147" s="1" t="s">
        <v>392</v>
      </c>
      <c r="C147" s="1" t="s">
        <v>173</v>
      </c>
      <c r="D147" s="1" t="s">
        <v>174</v>
      </c>
      <c r="E147" s="1">
        <v>2</v>
      </c>
      <c r="F147" s="1">
        <v>100</v>
      </c>
    </row>
    <row r="148" spans="2:6" x14ac:dyDescent="0.3">
      <c r="B148" s="1" t="s">
        <v>408</v>
      </c>
      <c r="C148" s="1" t="s">
        <v>189</v>
      </c>
      <c r="D148" s="1" t="s">
        <v>409</v>
      </c>
      <c r="E148" s="1">
        <v>1</v>
      </c>
      <c r="F148" s="1">
        <v>10</v>
      </c>
    </row>
    <row r="149" spans="2:6" x14ac:dyDescent="0.3">
      <c r="B149" s="1" t="s">
        <v>213</v>
      </c>
      <c r="C149" s="1" t="s">
        <v>161</v>
      </c>
      <c r="D149" s="1" t="s">
        <v>181</v>
      </c>
      <c r="E149" s="1">
        <v>1</v>
      </c>
      <c r="F149" s="1">
        <v>10</v>
      </c>
    </row>
    <row r="150" spans="2:6" x14ac:dyDescent="0.3">
      <c r="B150" s="1" t="s">
        <v>334</v>
      </c>
      <c r="C150" s="1" t="s">
        <v>335</v>
      </c>
      <c r="D150" s="1" t="s">
        <v>336</v>
      </c>
      <c r="E150" s="1">
        <v>1</v>
      </c>
      <c r="F150" s="1">
        <v>10</v>
      </c>
    </row>
    <row r="151" spans="2:6" x14ac:dyDescent="0.3">
      <c r="B151" s="1" t="s">
        <v>503</v>
      </c>
      <c r="C151" s="1" t="s">
        <v>192</v>
      </c>
      <c r="D151" s="1" t="s">
        <v>504</v>
      </c>
      <c r="E151" s="1">
        <v>0</v>
      </c>
      <c r="F151" s="1">
        <v>0</v>
      </c>
    </row>
    <row r="152" spans="2:6" x14ac:dyDescent="0.3">
      <c r="B152" s="1" t="s">
        <v>247</v>
      </c>
      <c r="C152" s="1" t="s">
        <v>164</v>
      </c>
      <c r="D152" s="1" t="s">
        <v>248</v>
      </c>
      <c r="E152" s="1">
        <v>1</v>
      </c>
      <c r="F152" s="1">
        <v>100</v>
      </c>
    </row>
    <row r="153" spans="2:6" x14ac:dyDescent="0.3">
      <c r="B153" s="1" t="s">
        <v>330</v>
      </c>
      <c r="C153" s="1" t="s">
        <v>161</v>
      </c>
      <c r="D153" s="1" t="s">
        <v>331</v>
      </c>
      <c r="E153" s="1">
        <v>2</v>
      </c>
      <c r="F153" s="1">
        <v>100</v>
      </c>
    </row>
    <row r="154" spans="2:6" x14ac:dyDescent="0.3">
      <c r="B154" s="1" t="s">
        <v>304</v>
      </c>
      <c r="C154" s="1" t="s">
        <v>218</v>
      </c>
      <c r="D154" s="1" t="s">
        <v>305</v>
      </c>
      <c r="E154" s="1">
        <v>2</v>
      </c>
      <c r="F154" s="1">
        <v>100</v>
      </c>
    </row>
    <row r="155" spans="2:6" x14ac:dyDescent="0.3">
      <c r="B155" s="1" t="s">
        <v>271</v>
      </c>
      <c r="C155" s="1" t="s">
        <v>272</v>
      </c>
      <c r="D155" s="1" t="s">
        <v>273</v>
      </c>
      <c r="E155" s="1">
        <v>0</v>
      </c>
      <c r="F155" s="1">
        <v>100</v>
      </c>
    </row>
    <row r="156" spans="2:6" x14ac:dyDescent="0.3">
      <c r="B156" s="1" t="s">
        <v>329</v>
      </c>
      <c r="C156" s="1" t="s">
        <v>161</v>
      </c>
      <c r="D156" s="1" t="s">
        <v>195</v>
      </c>
      <c r="E156" s="1">
        <v>2</v>
      </c>
      <c r="F156" s="1">
        <v>10</v>
      </c>
    </row>
    <row r="157" spans="2:6" x14ac:dyDescent="0.3">
      <c r="B157" s="1" t="s">
        <v>185</v>
      </c>
      <c r="C157" s="1" t="s">
        <v>183</v>
      </c>
      <c r="D157" s="1" t="s">
        <v>186</v>
      </c>
      <c r="E157" s="1">
        <v>1</v>
      </c>
      <c r="F157" s="1">
        <v>0</v>
      </c>
    </row>
    <row r="158" spans="2:6" x14ac:dyDescent="0.3">
      <c r="B158" s="1" t="s">
        <v>11</v>
      </c>
      <c r="C158" s="1" t="s">
        <v>207</v>
      </c>
      <c r="D158" s="1" t="s">
        <v>208</v>
      </c>
      <c r="E158" s="1">
        <v>2</v>
      </c>
      <c r="F158" s="1">
        <v>100</v>
      </c>
    </row>
    <row r="159" spans="2:6" x14ac:dyDescent="0.3">
      <c r="B159" s="1" t="s">
        <v>460</v>
      </c>
      <c r="C159" s="1" t="s">
        <v>161</v>
      </c>
      <c r="D159" s="1" t="s">
        <v>331</v>
      </c>
      <c r="E159" s="1">
        <v>2</v>
      </c>
      <c r="F159" s="1">
        <v>100</v>
      </c>
    </row>
    <row r="160" spans="2:6" x14ac:dyDescent="0.3">
      <c r="B160" s="1" t="s">
        <v>455</v>
      </c>
      <c r="C160" s="1" t="s">
        <v>456</v>
      </c>
      <c r="D160" s="1" t="s">
        <v>457</v>
      </c>
      <c r="E160" s="1">
        <v>2</v>
      </c>
      <c r="F160" s="1">
        <v>100</v>
      </c>
    </row>
    <row r="161" spans="2:6" x14ac:dyDescent="0.3">
      <c r="B161" s="1" t="s">
        <v>349</v>
      </c>
      <c r="C161" s="1" t="s">
        <v>215</v>
      </c>
      <c r="D161" s="1" t="s">
        <v>350</v>
      </c>
      <c r="E161" s="1">
        <v>2</v>
      </c>
      <c r="F161" s="1">
        <v>0</v>
      </c>
    </row>
    <row r="162" spans="2:6" x14ac:dyDescent="0.3">
      <c r="B162" s="1" t="s">
        <v>369</v>
      </c>
      <c r="C162" s="1" t="s">
        <v>151</v>
      </c>
      <c r="D162" s="1" t="s">
        <v>370</v>
      </c>
      <c r="E162" s="1">
        <v>0</v>
      </c>
      <c r="F162" s="1">
        <v>10</v>
      </c>
    </row>
    <row r="163" spans="2:6" x14ac:dyDescent="0.3">
      <c r="B163" s="1" t="s">
        <v>258</v>
      </c>
      <c r="C163" s="1" t="s">
        <v>161</v>
      </c>
      <c r="D163" s="1" t="s">
        <v>259</v>
      </c>
      <c r="E163" s="1">
        <v>1</v>
      </c>
      <c r="F163" s="1">
        <v>10</v>
      </c>
    </row>
    <row r="164" spans="2:6" x14ac:dyDescent="0.3">
      <c r="B164" s="1" t="s">
        <v>157</v>
      </c>
      <c r="C164" s="1" t="s">
        <v>158</v>
      </c>
      <c r="D164" s="1" t="s">
        <v>159</v>
      </c>
      <c r="E164" s="1">
        <v>2</v>
      </c>
      <c r="F164" s="1">
        <v>10</v>
      </c>
    </row>
    <row r="165" spans="2:6" x14ac:dyDescent="0.3">
      <c r="B165" s="1" t="s">
        <v>405</v>
      </c>
      <c r="C165" s="1" t="s">
        <v>161</v>
      </c>
      <c r="D165" s="1" t="s">
        <v>406</v>
      </c>
      <c r="E165" s="1">
        <v>1</v>
      </c>
      <c r="F165" s="1">
        <v>10</v>
      </c>
    </row>
    <row r="166" spans="2:6" x14ac:dyDescent="0.3">
      <c r="B166" s="1" t="s">
        <v>337</v>
      </c>
      <c r="C166" s="1" t="s">
        <v>338</v>
      </c>
      <c r="D166" s="1" t="s">
        <v>339</v>
      </c>
      <c r="E166" s="1">
        <v>1</v>
      </c>
      <c r="F166" s="1">
        <v>100</v>
      </c>
    </row>
    <row r="167" spans="2:6" x14ac:dyDescent="0.3">
      <c r="B167" s="1" t="s">
        <v>449</v>
      </c>
      <c r="C167" s="1" t="s">
        <v>450</v>
      </c>
      <c r="D167" s="1" t="s">
        <v>451</v>
      </c>
      <c r="E167" s="1">
        <v>2</v>
      </c>
      <c r="F167" s="1">
        <v>100</v>
      </c>
    </row>
    <row r="168" spans="2:6" x14ac:dyDescent="0.3">
      <c r="B168" s="1" t="s">
        <v>220</v>
      </c>
      <c r="C168" s="1" t="s">
        <v>173</v>
      </c>
      <c r="D168" s="1" t="s">
        <v>174</v>
      </c>
      <c r="E168" s="1">
        <v>2</v>
      </c>
      <c r="F168" s="1">
        <v>100</v>
      </c>
    </row>
    <row r="169" spans="2:6" x14ac:dyDescent="0.3">
      <c r="B169" s="1" t="s">
        <v>285</v>
      </c>
      <c r="C169" s="1" t="s">
        <v>286</v>
      </c>
      <c r="D169" s="1" t="s">
        <v>287</v>
      </c>
      <c r="E169" s="1">
        <v>2</v>
      </c>
      <c r="F169" s="1">
        <v>100</v>
      </c>
    </row>
    <row r="170" spans="2:6" x14ac:dyDescent="0.3">
      <c r="B170" s="1" t="s">
        <v>210</v>
      </c>
      <c r="C170" s="1" t="s">
        <v>173</v>
      </c>
      <c r="D170" s="1" t="s">
        <v>174</v>
      </c>
      <c r="E170" s="1">
        <v>0</v>
      </c>
      <c r="F170" s="1">
        <v>100</v>
      </c>
    </row>
    <row r="171" spans="2:6" x14ac:dyDescent="0.3">
      <c r="B171" s="1" t="s">
        <v>154</v>
      </c>
      <c r="C171" s="1" t="s">
        <v>146</v>
      </c>
      <c r="D171" s="1" t="s">
        <v>155</v>
      </c>
      <c r="E171" s="1">
        <v>2</v>
      </c>
      <c r="F171" s="1">
        <v>100</v>
      </c>
    </row>
    <row r="172" spans="2:6" x14ac:dyDescent="0.3">
      <c r="B172" s="1" t="s">
        <v>347</v>
      </c>
      <c r="C172" s="1" t="s">
        <v>146</v>
      </c>
      <c r="D172" s="1" t="s">
        <v>155</v>
      </c>
      <c r="E172" s="1">
        <v>2</v>
      </c>
      <c r="F172" s="1">
        <v>100</v>
      </c>
    </row>
    <row r="173" spans="2:6" x14ac:dyDescent="0.3">
      <c r="B173" s="1" t="s">
        <v>145</v>
      </c>
      <c r="C173" s="1" t="s">
        <v>146</v>
      </c>
      <c r="D173" s="1" t="s">
        <v>147</v>
      </c>
      <c r="E173" s="1">
        <v>1</v>
      </c>
      <c r="F173" s="1">
        <v>100</v>
      </c>
    </row>
    <row r="174" spans="2:6" x14ac:dyDescent="0.3">
      <c r="B174" s="1" t="s">
        <v>353</v>
      </c>
      <c r="C174" s="1" t="s">
        <v>146</v>
      </c>
      <c r="D174" s="1" t="s">
        <v>155</v>
      </c>
      <c r="E174" s="1">
        <v>0</v>
      </c>
      <c r="F174" s="1">
        <v>100</v>
      </c>
    </row>
    <row r="175" spans="2:6" x14ac:dyDescent="0.3">
      <c r="B175" s="1" t="s">
        <v>236</v>
      </c>
      <c r="C175" s="1" t="s">
        <v>146</v>
      </c>
      <c r="D175" s="1" t="s">
        <v>155</v>
      </c>
      <c r="E175" s="1">
        <v>2</v>
      </c>
      <c r="F175" s="1">
        <v>100</v>
      </c>
    </row>
    <row r="176" spans="2:6" x14ac:dyDescent="0.3">
      <c r="B176" s="1" t="s">
        <v>274</v>
      </c>
      <c r="C176" s="1" t="s">
        <v>146</v>
      </c>
      <c r="D176" s="1" t="s">
        <v>155</v>
      </c>
      <c r="E176" s="1">
        <v>0</v>
      </c>
      <c r="F176" s="1">
        <v>100</v>
      </c>
    </row>
    <row r="177" spans="2:6" x14ac:dyDescent="0.3">
      <c r="B177" s="1" t="s">
        <v>458</v>
      </c>
      <c r="C177" s="1" t="s">
        <v>146</v>
      </c>
      <c r="D177" s="1" t="s">
        <v>155</v>
      </c>
      <c r="E177" s="1">
        <v>0</v>
      </c>
      <c r="F177" s="1">
        <v>100</v>
      </c>
    </row>
    <row r="178" spans="2:6" x14ac:dyDescent="0.3">
      <c r="B178" s="1" t="s">
        <v>275</v>
      </c>
      <c r="C178" s="1" t="s">
        <v>222</v>
      </c>
      <c r="D178" s="1" t="s">
        <v>276</v>
      </c>
      <c r="E178" s="1">
        <v>1</v>
      </c>
      <c r="F178" s="1">
        <v>10</v>
      </c>
    </row>
    <row r="179" spans="2:6" x14ac:dyDescent="0.3">
      <c r="B179" s="1" t="s">
        <v>483</v>
      </c>
      <c r="C179" s="1" t="s">
        <v>484</v>
      </c>
      <c r="D179" s="1" t="s">
        <v>485</v>
      </c>
      <c r="E179" s="1">
        <v>2</v>
      </c>
      <c r="F179" s="1">
        <v>100</v>
      </c>
    </row>
    <row r="180" spans="2:6" x14ac:dyDescent="0.3">
      <c r="B180" s="1" t="s">
        <v>340</v>
      </c>
      <c r="C180" s="1" t="s">
        <v>179</v>
      </c>
      <c r="D180" s="1" t="s">
        <v>341</v>
      </c>
      <c r="E180" s="1">
        <v>1</v>
      </c>
      <c r="F180" s="1">
        <v>100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3F86F-7625-42E1-90B9-A15666DA51A2}">
  <sheetPr codeName="Sheet1"/>
  <dimension ref="B1:G182"/>
  <sheetViews>
    <sheetView showGridLines="0" zoomScale="85" zoomScaleNormal="85" workbookViewId="0"/>
  </sheetViews>
  <sheetFormatPr defaultColWidth="9.23046875" defaultRowHeight="18.75" x14ac:dyDescent="0.3"/>
  <cols>
    <col min="1" max="1" width="9.23046875" style="1"/>
    <col min="2" max="2" width="32.3828125" style="1" bestFit="1" customWidth="1"/>
    <col min="3" max="3" width="27.4609375" style="1" bestFit="1" customWidth="1"/>
    <col min="4" max="4" width="38.69140625" style="1" bestFit="1" customWidth="1"/>
    <col min="5" max="5" width="7.4609375" style="1" bestFit="1" customWidth="1"/>
    <col min="6" max="6" width="9.765625" style="1" bestFit="1" customWidth="1"/>
    <col min="7" max="7" width="6.3046875" style="1" bestFit="1" customWidth="1"/>
    <col min="8" max="8" width="7.07421875" style="1" bestFit="1" customWidth="1"/>
    <col min="9" max="16384" width="9.23046875" style="1"/>
  </cols>
  <sheetData>
    <row r="1" spans="2:7" ht="19.5" thickBot="1" x14ac:dyDescent="0.35"/>
    <row r="2" spans="2:7" ht="19.5" thickBot="1" x14ac:dyDescent="0.35">
      <c r="B2" s="15" t="s">
        <v>137</v>
      </c>
      <c r="C2" s="16" t="s">
        <v>138</v>
      </c>
      <c r="D2" s="1" t="s">
        <v>139</v>
      </c>
    </row>
    <row r="4" spans="2:7" x14ac:dyDescent="0.3">
      <c r="B4" s="1" t="s">
        <v>140</v>
      </c>
      <c r="C4" s="1" t="s">
        <v>141</v>
      </c>
      <c r="D4" s="1" t="s">
        <v>142</v>
      </c>
      <c r="E4" s="1" t="s">
        <v>2</v>
      </c>
      <c r="F4" s="1" t="s">
        <v>143</v>
      </c>
      <c r="G4" s="1" t="s">
        <v>144</v>
      </c>
    </row>
    <row r="5" spans="2:7" x14ac:dyDescent="0.3">
      <c r="B5" s="1" t="s">
        <v>145</v>
      </c>
      <c r="C5" s="1" t="s">
        <v>146</v>
      </c>
      <c r="D5" s="1" t="s">
        <v>147</v>
      </c>
      <c r="E5" s="1" t="s">
        <v>148</v>
      </c>
      <c r="F5" s="1" t="s">
        <v>149</v>
      </c>
      <c r="G5" s="1" t="b">
        <v>0</v>
      </c>
    </row>
    <row r="6" spans="2:7" x14ac:dyDescent="0.3">
      <c r="B6" s="1" t="s">
        <v>150</v>
      </c>
      <c r="C6" s="1" t="s">
        <v>151</v>
      </c>
      <c r="D6" s="1" t="s">
        <v>152</v>
      </c>
      <c r="E6" s="1" t="s">
        <v>148</v>
      </c>
      <c r="F6" s="1" t="s">
        <v>153</v>
      </c>
      <c r="G6" s="1" t="b">
        <v>1</v>
      </c>
    </row>
    <row r="7" spans="2:7" x14ac:dyDescent="0.3">
      <c r="B7" s="1" t="s">
        <v>154</v>
      </c>
      <c r="C7" s="1" t="s">
        <v>146</v>
      </c>
      <c r="D7" s="1" t="s">
        <v>155</v>
      </c>
      <c r="E7" s="1" t="s">
        <v>156</v>
      </c>
      <c r="F7" s="1" t="s">
        <v>149</v>
      </c>
      <c r="G7" s="1" t="b">
        <v>0</v>
      </c>
    </row>
    <row r="8" spans="2:7" x14ac:dyDescent="0.3">
      <c r="B8" s="1" t="s">
        <v>157</v>
      </c>
      <c r="C8" s="1" t="s">
        <v>158</v>
      </c>
      <c r="D8" s="1" t="s">
        <v>159</v>
      </c>
      <c r="E8" s="1" t="s">
        <v>156</v>
      </c>
      <c r="F8" s="1" t="s">
        <v>153</v>
      </c>
      <c r="G8" s="1" t="b">
        <v>1</v>
      </c>
    </row>
    <row r="9" spans="2:7" x14ac:dyDescent="0.3">
      <c r="B9" s="1" t="s">
        <v>160</v>
      </c>
      <c r="C9" s="1" t="s">
        <v>161</v>
      </c>
      <c r="D9" s="1" t="s">
        <v>162</v>
      </c>
      <c r="E9" s="1" t="s">
        <v>156</v>
      </c>
      <c r="F9" s="1" t="s">
        <v>153</v>
      </c>
      <c r="G9" s="1" t="b">
        <v>1</v>
      </c>
    </row>
    <row r="10" spans="2:7" x14ac:dyDescent="0.3">
      <c r="B10" s="1" t="s">
        <v>163</v>
      </c>
      <c r="C10" s="1" t="s">
        <v>164</v>
      </c>
      <c r="D10" s="1" t="s">
        <v>165</v>
      </c>
      <c r="E10" s="1" t="s">
        <v>148</v>
      </c>
      <c r="F10" s="1" t="s">
        <v>149</v>
      </c>
      <c r="G10" s="1" t="b">
        <v>0</v>
      </c>
    </row>
    <row r="11" spans="2:7" x14ac:dyDescent="0.3">
      <c r="B11" s="1" t="s">
        <v>166</v>
      </c>
      <c r="C11" s="1" t="s">
        <v>164</v>
      </c>
      <c r="D11" s="1" t="s">
        <v>167</v>
      </c>
      <c r="E11" s="1" t="s">
        <v>168</v>
      </c>
      <c r="F11" s="1" t="s">
        <v>149</v>
      </c>
      <c r="G11" s="1" t="b">
        <v>0</v>
      </c>
    </row>
    <row r="12" spans="2:7" x14ac:dyDescent="0.3">
      <c r="B12" s="1" t="s">
        <v>169</v>
      </c>
      <c r="C12" s="1" t="s">
        <v>161</v>
      </c>
      <c r="D12" s="1" t="s">
        <v>170</v>
      </c>
      <c r="E12" s="1" t="s">
        <v>171</v>
      </c>
      <c r="F12" s="1" t="s">
        <v>153</v>
      </c>
      <c r="G12" s="1" t="b">
        <v>1</v>
      </c>
    </row>
    <row r="13" spans="2:7" x14ac:dyDescent="0.3">
      <c r="B13" s="1" t="s">
        <v>172</v>
      </c>
      <c r="C13" s="1" t="s">
        <v>173</v>
      </c>
      <c r="D13" s="1" t="s">
        <v>174</v>
      </c>
      <c r="E13" s="1" t="s">
        <v>171</v>
      </c>
      <c r="F13" s="1" t="s">
        <v>149</v>
      </c>
      <c r="G13" s="1" t="b">
        <v>0</v>
      </c>
    </row>
    <row r="14" spans="2:7" x14ac:dyDescent="0.3">
      <c r="B14" s="1" t="s">
        <v>175</v>
      </c>
      <c r="C14" s="1" t="s">
        <v>176</v>
      </c>
      <c r="D14" s="1" t="s">
        <v>177</v>
      </c>
      <c r="E14" s="1" t="s">
        <v>171</v>
      </c>
      <c r="F14" s="1" t="s">
        <v>149</v>
      </c>
      <c r="G14" s="1" t="b">
        <v>0</v>
      </c>
    </row>
    <row r="15" spans="2:7" x14ac:dyDescent="0.3">
      <c r="B15" s="1" t="s">
        <v>178</v>
      </c>
      <c r="C15" s="1" t="s">
        <v>179</v>
      </c>
      <c r="D15" s="1" t="s">
        <v>180</v>
      </c>
      <c r="E15" s="1" t="s">
        <v>148</v>
      </c>
      <c r="F15" s="1" t="s">
        <v>153</v>
      </c>
      <c r="G15" s="1" t="b">
        <v>1</v>
      </c>
    </row>
    <row r="16" spans="2:7" x14ac:dyDescent="0.3">
      <c r="B16" s="1" t="s">
        <v>10</v>
      </c>
      <c r="C16" s="1" t="s">
        <v>161</v>
      </c>
      <c r="D16" s="1" t="s">
        <v>181</v>
      </c>
      <c r="E16" s="1" t="s">
        <v>148</v>
      </c>
      <c r="F16" s="1" t="s">
        <v>153</v>
      </c>
      <c r="G16" s="1" t="b">
        <v>1</v>
      </c>
    </row>
    <row r="17" spans="2:7" x14ac:dyDescent="0.3">
      <c r="B17" s="1" t="s">
        <v>182</v>
      </c>
      <c r="C17" s="1" t="s">
        <v>183</v>
      </c>
      <c r="D17" s="1" t="s">
        <v>184</v>
      </c>
      <c r="E17" s="1" t="s">
        <v>148</v>
      </c>
      <c r="F17" s="1" t="s">
        <v>153</v>
      </c>
      <c r="G17" s="1" t="b">
        <v>1</v>
      </c>
    </row>
    <row r="18" spans="2:7" x14ac:dyDescent="0.3">
      <c r="B18" s="1" t="s">
        <v>185</v>
      </c>
      <c r="C18" s="1" t="s">
        <v>183</v>
      </c>
      <c r="D18" s="1" t="s">
        <v>186</v>
      </c>
      <c r="E18" s="1" t="s">
        <v>148</v>
      </c>
      <c r="F18" s="1" t="s">
        <v>187</v>
      </c>
      <c r="G18" s="1" t="b">
        <v>1</v>
      </c>
    </row>
    <row r="19" spans="2:7" x14ac:dyDescent="0.3">
      <c r="B19" s="1" t="s">
        <v>188</v>
      </c>
      <c r="C19" s="1" t="s">
        <v>189</v>
      </c>
      <c r="D19" s="1" t="s">
        <v>190</v>
      </c>
      <c r="E19" s="1" t="s">
        <v>168</v>
      </c>
      <c r="F19" s="1" t="s">
        <v>153</v>
      </c>
      <c r="G19" s="1" t="b">
        <v>1</v>
      </c>
    </row>
    <row r="20" spans="2:7" x14ac:dyDescent="0.3">
      <c r="B20" s="1" t="s">
        <v>191</v>
      </c>
      <c r="C20" s="1" t="s">
        <v>192</v>
      </c>
      <c r="D20" s="1" t="s">
        <v>193</v>
      </c>
      <c r="E20" s="1" t="s">
        <v>148</v>
      </c>
      <c r="F20" s="1" t="s">
        <v>153</v>
      </c>
      <c r="G20" s="1" t="b">
        <v>1</v>
      </c>
    </row>
    <row r="21" spans="2:7" x14ac:dyDescent="0.3">
      <c r="B21" s="1" t="s">
        <v>194</v>
      </c>
      <c r="C21" s="1" t="s">
        <v>161</v>
      </c>
      <c r="D21" s="1" t="s">
        <v>195</v>
      </c>
      <c r="E21" s="1" t="s">
        <v>171</v>
      </c>
      <c r="F21" s="1" t="s">
        <v>153</v>
      </c>
      <c r="G21" s="1" t="b">
        <v>1</v>
      </c>
    </row>
    <row r="22" spans="2:7" x14ac:dyDescent="0.3">
      <c r="B22" s="1" t="s">
        <v>196</v>
      </c>
      <c r="C22" s="1" t="s">
        <v>192</v>
      </c>
      <c r="D22" s="1" t="s">
        <v>193</v>
      </c>
      <c r="E22" s="1" t="s">
        <v>171</v>
      </c>
      <c r="F22" s="1" t="s">
        <v>153</v>
      </c>
      <c r="G22" s="1" t="b">
        <v>1</v>
      </c>
    </row>
    <row r="23" spans="2:7" x14ac:dyDescent="0.3">
      <c r="B23" s="1" t="s">
        <v>197</v>
      </c>
      <c r="C23" s="1" t="s">
        <v>146</v>
      </c>
      <c r="D23" s="1" t="s">
        <v>198</v>
      </c>
      <c r="E23" s="1" t="s">
        <v>171</v>
      </c>
      <c r="F23" s="1" t="s">
        <v>153</v>
      </c>
      <c r="G23" s="1" t="b">
        <v>0</v>
      </c>
    </row>
    <row r="24" spans="2:7" x14ac:dyDescent="0.3">
      <c r="B24" s="1" t="s">
        <v>199</v>
      </c>
      <c r="C24" s="1" t="s">
        <v>161</v>
      </c>
      <c r="D24" s="1" t="s">
        <v>195</v>
      </c>
      <c r="E24" s="1" t="s">
        <v>148</v>
      </c>
      <c r="F24" s="1" t="s">
        <v>153</v>
      </c>
      <c r="G24" s="1" t="b">
        <v>1</v>
      </c>
    </row>
    <row r="25" spans="2:7" x14ac:dyDescent="0.3">
      <c r="B25" s="1" t="s">
        <v>200</v>
      </c>
      <c r="C25" s="1" t="s">
        <v>201</v>
      </c>
      <c r="D25" s="1" t="s">
        <v>202</v>
      </c>
      <c r="E25" s="1" t="s">
        <v>148</v>
      </c>
      <c r="F25" s="1" t="s">
        <v>149</v>
      </c>
      <c r="G25" s="1" t="b">
        <v>1</v>
      </c>
    </row>
    <row r="26" spans="2:7" x14ac:dyDescent="0.3">
      <c r="B26" s="1" t="s">
        <v>203</v>
      </c>
      <c r="C26" s="1" t="s">
        <v>204</v>
      </c>
      <c r="D26" s="1" t="s">
        <v>205</v>
      </c>
      <c r="E26" s="1" t="s">
        <v>148</v>
      </c>
      <c r="F26" s="1" t="s">
        <v>149</v>
      </c>
      <c r="G26" s="1" t="b">
        <v>1</v>
      </c>
    </row>
    <row r="27" spans="2:7" x14ac:dyDescent="0.3">
      <c r="B27" s="1" t="s">
        <v>206</v>
      </c>
      <c r="C27" s="1" t="s">
        <v>161</v>
      </c>
      <c r="D27" s="1" t="s">
        <v>181</v>
      </c>
      <c r="E27" s="1" t="s">
        <v>148</v>
      </c>
      <c r="F27" s="1" t="s">
        <v>153</v>
      </c>
      <c r="G27" s="1" t="b">
        <v>1</v>
      </c>
    </row>
    <row r="28" spans="2:7" x14ac:dyDescent="0.3">
      <c r="B28" s="1" t="s">
        <v>11</v>
      </c>
      <c r="C28" s="1" t="s">
        <v>207</v>
      </c>
      <c r="D28" s="1" t="s">
        <v>208</v>
      </c>
      <c r="E28" s="1" t="s">
        <v>156</v>
      </c>
      <c r="F28" s="1" t="s">
        <v>149</v>
      </c>
      <c r="G28" s="1" t="b">
        <v>1</v>
      </c>
    </row>
    <row r="29" spans="2:7" x14ac:dyDescent="0.3">
      <c r="B29" s="1" t="s">
        <v>209</v>
      </c>
      <c r="C29" s="1" t="s">
        <v>161</v>
      </c>
      <c r="D29" s="1" t="s">
        <v>195</v>
      </c>
      <c r="E29" s="1" t="s">
        <v>148</v>
      </c>
      <c r="F29" s="1" t="s">
        <v>153</v>
      </c>
      <c r="G29" s="1" t="b">
        <v>1</v>
      </c>
    </row>
    <row r="30" spans="2:7" x14ac:dyDescent="0.3">
      <c r="B30" s="1" t="s">
        <v>210</v>
      </c>
      <c r="C30" s="1" t="s">
        <v>173</v>
      </c>
      <c r="D30" s="1" t="s">
        <v>174</v>
      </c>
      <c r="E30" s="1" t="s">
        <v>171</v>
      </c>
      <c r="F30" s="1" t="s">
        <v>149</v>
      </c>
      <c r="G30" s="1" t="b">
        <v>0</v>
      </c>
    </row>
    <row r="31" spans="2:7" x14ac:dyDescent="0.3">
      <c r="B31" s="1" t="s">
        <v>211</v>
      </c>
      <c r="C31" s="1" t="s">
        <v>164</v>
      </c>
      <c r="D31" s="1" t="s">
        <v>212</v>
      </c>
      <c r="E31" s="1" t="s">
        <v>148</v>
      </c>
      <c r="F31" s="1" t="s">
        <v>153</v>
      </c>
      <c r="G31" s="1" t="b">
        <v>1</v>
      </c>
    </row>
    <row r="32" spans="2:7" x14ac:dyDescent="0.3">
      <c r="B32" s="1" t="s">
        <v>213</v>
      </c>
      <c r="C32" s="1" t="s">
        <v>161</v>
      </c>
      <c r="D32" s="1" t="s">
        <v>181</v>
      </c>
      <c r="E32" s="1" t="s">
        <v>148</v>
      </c>
      <c r="F32" s="1" t="s">
        <v>153</v>
      </c>
      <c r="G32" s="1" t="b">
        <v>1</v>
      </c>
    </row>
    <row r="33" spans="2:7" x14ac:dyDescent="0.3">
      <c r="B33" s="1" t="s">
        <v>214</v>
      </c>
      <c r="C33" s="1" t="s">
        <v>215</v>
      </c>
      <c r="D33" s="1" t="s">
        <v>216</v>
      </c>
      <c r="E33" s="1" t="s">
        <v>171</v>
      </c>
      <c r="F33" s="1" t="s">
        <v>153</v>
      </c>
      <c r="G33" s="1" t="b">
        <v>0</v>
      </c>
    </row>
    <row r="34" spans="2:7" x14ac:dyDescent="0.3">
      <c r="B34" s="1" t="s">
        <v>217</v>
      </c>
      <c r="C34" s="1" t="s">
        <v>218</v>
      </c>
      <c r="D34" s="1" t="s">
        <v>219</v>
      </c>
      <c r="E34" s="1" t="s">
        <v>168</v>
      </c>
      <c r="F34" s="1" t="s">
        <v>153</v>
      </c>
      <c r="G34" s="1" t="b">
        <v>1</v>
      </c>
    </row>
    <row r="35" spans="2:7" x14ac:dyDescent="0.3">
      <c r="B35" s="1" t="s">
        <v>220</v>
      </c>
      <c r="C35" s="1" t="s">
        <v>173</v>
      </c>
      <c r="D35" s="1" t="s">
        <v>174</v>
      </c>
      <c r="E35" s="1" t="s">
        <v>156</v>
      </c>
      <c r="F35" s="1" t="s">
        <v>149</v>
      </c>
      <c r="G35" s="1" t="b">
        <v>0</v>
      </c>
    </row>
    <row r="36" spans="2:7" x14ac:dyDescent="0.3">
      <c r="B36" s="1" t="s">
        <v>221</v>
      </c>
      <c r="C36" s="1" t="s">
        <v>222</v>
      </c>
      <c r="D36" s="1" t="s">
        <v>223</v>
      </c>
      <c r="E36" s="1" t="s">
        <v>156</v>
      </c>
      <c r="F36" s="1" t="s">
        <v>153</v>
      </c>
      <c r="G36" s="1" t="b">
        <v>1</v>
      </c>
    </row>
    <row r="37" spans="2:7" x14ac:dyDescent="0.3">
      <c r="B37" s="1" t="s">
        <v>224</v>
      </c>
      <c r="C37" s="1" t="s">
        <v>225</v>
      </c>
      <c r="D37" s="1" t="s">
        <v>226</v>
      </c>
      <c r="E37" s="1" t="s">
        <v>171</v>
      </c>
      <c r="F37" s="1" t="s">
        <v>153</v>
      </c>
      <c r="G37" s="1" t="b">
        <v>1</v>
      </c>
    </row>
    <row r="38" spans="2:7" x14ac:dyDescent="0.3">
      <c r="B38" s="1" t="s">
        <v>227</v>
      </c>
      <c r="C38" s="1" t="s">
        <v>173</v>
      </c>
      <c r="D38" s="1" t="s">
        <v>228</v>
      </c>
      <c r="E38" s="1" t="s">
        <v>171</v>
      </c>
      <c r="F38" s="1" t="s">
        <v>149</v>
      </c>
      <c r="G38" s="1" t="b">
        <v>1</v>
      </c>
    </row>
    <row r="39" spans="2:7" x14ac:dyDescent="0.3">
      <c r="B39" s="1" t="s">
        <v>229</v>
      </c>
      <c r="C39" s="1" t="s">
        <v>230</v>
      </c>
      <c r="D39" s="1" t="s">
        <v>231</v>
      </c>
      <c r="E39" s="1" t="s">
        <v>156</v>
      </c>
      <c r="F39" s="1" t="s">
        <v>153</v>
      </c>
      <c r="G39" s="1" t="b">
        <v>0</v>
      </c>
    </row>
    <row r="40" spans="2:7" x14ac:dyDescent="0.3">
      <c r="B40" s="1" t="s">
        <v>232</v>
      </c>
      <c r="C40" s="1" t="s">
        <v>151</v>
      </c>
      <c r="D40" s="1" t="s">
        <v>233</v>
      </c>
      <c r="E40" s="1" t="s">
        <v>148</v>
      </c>
      <c r="F40" s="1" t="s">
        <v>153</v>
      </c>
      <c r="G40" s="1" t="b">
        <v>1</v>
      </c>
    </row>
    <row r="41" spans="2:7" x14ac:dyDescent="0.3">
      <c r="B41" s="1" t="s">
        <v>234</v>
      </c>
      <c r="C41" s="1" t="s">
        <v>192</v>
      </c>
      <c r="D41" s="1" t="s">
        <v>235</v>
      </c>
      <c r="E41" s="1" t="s">
        <v>148</v>
      </c>
      <c r="F41" s="1" t="s">
        <v>153</v>
      </c>
      <c r="G41" s="1" t="b">
        <v>1</v>
      </c>
    </row>
    <row r="42" spans="2:7" x14ac:dyDescent="0.3">
      <c r="B42" s="1" t="s">
        <v>236</v>
      </c>
      <c r="C42" s="1" t="s">
        <v>146</v>
      </c>
      <c r="D42" s="1" t="s">
        <v>155</v>
      </c>
      <c r="E42" s="1" t="s">
        <v>156</v>
      </c>
      <c r="F42" s="1" t="s">
        <v>149</v>
      </c>
      <c r="G42" s="1" t="b">
        <v>0</v>
      </c>
    </row>
    <row r="43" spans="2:7" x14ac:dyDescent="0.3">
      <c r="B43" s="1" t="s">
        <v>237</v>
      </c>
      <c r="C43" s="1" t="s">
        <v>207</v>
      </c>
      <c r="D43" s="1" t="s">
        <v>238</v>
      </c>
      <c r="E43" s="1" t="s">
        <v>156</v>
      </c>
      <c r="F43" s="1" t="s">
        <v>187</v>
      </c>
      <c r="G43" s="1" t="b">
        <v>1</v>
      </c>
    </row>
    <row r="44" spans="2:7" x14ac:dyDescent="0.3">
      <c r="B44" s="1" t="s">
        <v>239</v>
      </c>
      <c r="C44" s="1" t="s">
        <v>215</v>
      </c>
      <c r="D44" s="1" t="s">
        <v>216</v>
      </c>
      <c r="E44" s="1" t="s">
        <v>171</v>
      </c>
      <c r="F44" s="1" t="s">
        <v>153</v>
      </c>
      <c r="G44" s="1" t="b">
        <v>0</v>
      </c>
    </row>
    <row r="45" spans="2:7" x14ac:dyDescent="0.3">
      <c r="B45" s="1" t="s">
        <v>240</v>
      </c>
      <c r="C45" s="1" t="s">
        <v>241</v>
      </c>
      <c r="D45" s="1" t="s">
        <v>242</v>
      </c>
      <c r="E45" s="1" t="s">
        <v>148</v>
      </c>
      <c r="F45" s="1" t="s">
        <v>153</v>
      </c>
      <c r="G45" s="1" t="b">
        <v>1</v>
      </c>
    </row>
    <row r="46" spans="2:7" x14ac:dyDescent="0.3">
      <c r="B46" s="1" t="s">
        <v>243</v>
      </c>
      <c r="C46" s="1" t="s">
        <v>161</v>
      </c>
      <c r="D46" s="1" t="s">
        <v>195</v>
      </c>
      <c r="E46" s="1" t="s">
        <v>156</v>
      </c>
      <c r="F46" s="1" t="s">
        <v>153</v>
      </c>
      <c r="G46" s="1" t="b">
        <v>1</v>
      </c>
    </row>
    <row r="47" spans="2:7" x14ac:dyDescent="0.3">
      <c r="B47" s="1" t="s">
        <v>244</v>
      </c>
      <c r="C47" s="1" t="s">
        <v>245</v>
      </c>
      <c r="D47" s="1" t="s">
        <v>246</v>
      </c>
      <c r="E47" s="1" t="s">
        <v>148</v>
      </c>
      <c r="F47" s="1" t="s">
        <v>153</v>
      </c>
      <c r="G47" s="1" t="b">
        <v>1</v>
      </c>
    </row>
    <row r="48" spans="2:7" x14ac:dyDescent="0.3">
      <c r="B48" s="1" t="s">
        <v>247</v>
      </c>
      <c r="C48" s="1" t="s">
        <v>164</v>
      </c>
      <c r="D48" s="1" t="s">
        <v>248</v>
      </c>
      <c r="E48" s="1" t="s">
        <v>148</v>
      </c>
      <c r="F48" s="1" t="s">
        <v>149</v>
      </c>
      <c r="G48" s="1" t="b">
        <v>0</v>
      </c>
    </row>
    <row r="49" spans="2:7" x14ac:dyDescent="0.3">
      <c r="B49" s="1" t="s">
        <v>249</v>
      </c>
      <c r="C49" s="1" t="s">
        <v>173</v>
      </c>
      <c r="D49" s="1" t="s">
        <v>174</v>
      </c>
      <c r="E49" s="1" t="s">
        <v>171</v>
      </c>
      <c r="F49" s="1" t="s">
        <v>149</v>
      </c>
      <c r="G49" s="1" t="b">
        <v>0</v>
      </c>
    </row>
    <row r="50" spans="2:7" x14ac:dyDescent="0.3">
      <c r="B50" s="1" t="s">
        <v>250</v>
      </c>
      <c r="C50" s="1" t="s">
        <v>161</v>
      </c>
      <c r="D50" s="1" t="s">
        <v>162</v>
      </c>
      <c r="E50" s="1" t="s">
        <v>148</v>
      </c>
      <c r="F50" s="1" t="s">
        <v>153</v>
      </c>
      <c r="G50" s="1" t="b">
        <v>1</v>
      </c>
    </row>
    <row r="51" spans="2:7" x14ac:dyDescent="0.3">
      <c r="B51" s="1" t="s">
        <v>251</v>
      </c>
      <c r="C51" s="1" t="s">
        <v>161</v>
      </c>
      <c r="D51" s="1" t="s">
        <v>252</v>
      </c>
      <c r="E51" s="1" t="s">
        <v>148</v>
      </c>
      <c r="F51" s="1" t="s">
        <v>153</v>
      </c>
      <c r="G51" s="1" t="b">
        <v>1</v>
      </c>
    </row>
    <row r="52" spans="2:7" x14ac:dyDescent="0.3">
      <c r="B52" s="1" t="s">
        <v>253</v>
      </c>
      <c r="C52" s="1" t="s">
        <v>254</v>
      </c>
      <c r="D52" s="1" t="s">
        <v>255</v>
      </c>
      <c r="E52" s="1" t="s">
        <v>148</v>
      </c>
      <c r="F52" s="1" t="s">
        <v>153</v>
      </c>
      <c r="G52" s="1" t="b">
        <v>1</v>
      </c>
    </row>
    <row r="53" spans="2:7" x14ac:dyDescent="0.3">
      <c r="B53" s="1" t="s">
        <v>256</v>
      </c>
      <c r="C53" s="1" t="s">
        <v>215</v>
      </c>
      <c r="D53" s="1" t="s">
        <v>257</v>
      </c>
      <c r="E53" s="1" t="s">
        <v>171</v>
      </c>
      <c r="F53" s="1" t="s">
        <v>187</v>
      </c>
      <c r="G53" s="1" t="b">
        <v>1</v>
      </c>
    </row>
    <row r="54" spans="2:7" x14ac:dyDescent="0.3">
      <c r="B54" s="1" t="s">
        <v>258</v>
      </c>
      <c r="C54" s="1" t="s">
        <v>161</v>
      </c>
      <c r="D54" s="1" t="s">
        <v>259</v>
      </c>
      <c r="E54" s="1" t="s">
        <v>148</v>
      </c>
      <c r="F54" s="1" t="s">
        <v>153</v>
      </c>
      <c r="G54" s="1" t="b">
        <v>1</v>
      </c>
    </row>
    <row r="55" spans="2:7" x14ac:dyDescent="0.3">
      <c r="B55" s="1" t="s">
        <v>260</v>
      </c>
      <c r="C55" s="1" t="s">
        <v>161</v>
      </c>
      <c r="D55" s="1" t="s">
        <v>195</v>
      </c>
      <c r="E55" s="1" t="s">
        <v>168</v>
      </c>
      <c r="F55" s="1" t="s">
        <v>153</v>
      </c>
      <c r="G55" s="1" t="b">
        <v>1</v>
      </c>
    </row>
    <row r="56" spans="2:7" x14ac:dyDescent="0.3">
      <c r="B56" s="1" t="s">
        <v>261</v>
      </c>
      <c r="C56" s="1" t="s">
        <v>146</v>
      </c>
      <c r="D56" s="1" t="s">
        <v>262</v>
      </c>
      <c r="E56" s="1" t="s">
        <v>171</v>
      </c>
      <c r="F56" s="1" t="s">
        <v>153</v>
      </c>
      <c r="G56" s="1" t="b">
        <v>0</v>
      </c>
    </row>
    <row r="57" spans="2:7" x14ac:dyDescent="0.3">
      <c r="B57" s="1" t="s">
        <v>263</v>
      </c>
      <c r="C57" s="1" t="s">
        <v>151</v>
      </c>
      <c r="D57" s="1" t="s">
        <v>264</v>
      </c>
      <c r="E57" s="1" t="s">
        <v>171</v>
      </c>
      <c r="F57" s="1" t="s">
        <v>153</v>
      </c>
      <c r="G57" s="1" t="b">
        <v>1</v>
      </c>
    </row>
    <row r="58" spans="2:7" x14ac:dyDescent="0.3">
      <c r="B58" s="1" t="s">
        <v>265</v>
      </c>
      <c r="C58" s="1" t="s">
        <v>230</v>
      </c>
      <c r="D58" s="1" t="s">
        <v>231</v>
      </c>
      <c r="E58" s="1" t="s">
        <v>148</v>
      </c>
      <c r="F58" s="1" t="s">
        <v>153</v>
      </c>
      <c r="G58" s="1" t="b">
        <v>0</v>
      </c>
    </row>
    <row r="59" spans="2:7" x14ac:dyDescent="0.3">
      <c r="B59" s="1" t="s">
        <v>266</v>
      </c>
      <c r="C59" s="1" t="s">
        <v>267</v>
      </c>
      <c r="D59" s="1" t="s">
        <v>268</v>
      </c>
      <c r="E59" s="1" t="s">
        <v>148</v>
      </c>
      <c r="F59" s="1" t="s">
        <v>153</v>
      </c>
      <c r="G59" s="1" t="b">
        <v>1</v>
      </c>
    </row>
    <row r="60" spans="2:7" x14ac:dyDescent="0.3">
      <c r="B60" s="1" t="s">
        <v>269</v>
      </c>
      <c r="C60" s="1" t="s">
        <v>218</v>
      </c>
      <c r="D60" s="1" t="s">
        <v>270</v>
      </c>
      <c r="E60" s="1" t="s">
        <v>156</v>
      </c>
      <c r="F60" s="1" t="s">
        <v>153</v>
      </c>
      <c r="G60" s="1" t="b">
        <v>1</v>
      </c>
    </row>
    <row r="61" spans="2:7" x14ac:dyDescent="0.3">
      <c r="B61" s="1" t="s">
        <v>271</v>
      </c>
      <c r="C61" s="1" t="s">
        <v>272</v>
      </c>
      <c r="D61" s="1" t="s">
        <v>273</v>
      </c>
      <c r="E61" s="1" t="s">
        <v>171</v>
      </c>
      <c r="F61" s="1" t="s">
        <v>149</v>
      </c>
      <c r="G61" s="1" t="b">
        <v>0</v>
      </c>
    </row>
    <row r="62" spans="2:7" x14ac:dyDescent="0.3">
      <c r="B62" s="1" t="s">
        <v>274</v>
      </c>
      <c r="C62" s="1" t="s">
        <v>146</v>
      </c>
      <c r="D62" s="1" t="s">
        <v>155</v>
      </c>
      <c r="E62" s="1" t="s">
        <v>171</v>
      </c>
      <c r="F62" s="1" t="s">
        <v>149</v>
      </c>
      <c r="G62" s="1" t="b">
        <v>0</v>
      </c>
    </row>
    <row r="63" spans="2:7" x14ac:dyDescent="0.3">
      <c r="B63" s="1" t="s">
        <v>275</v>
      </c>
      <c r="C63" s="1" t="s">
        <v>222</v>
      </c>
      <c r="D63" s="1" t="s">
        <v>276</v>
      </c>
      <c r="E63" s="1" t="s">
        <v>148</v>
      </c>
      <c r="F63" s="1" t="s">
        <v>153</v>
      </c>
      <c r="G63" s="1" t="b">
        <v>0</v>
      </c>
    </row>
    <row r="64" spans="2:7" x14ac:dyDescent="0.3">
      <c r="B64" s="1" t="s">
        <v>277</v>
      </c>
      <c r="C64" s="1" t="s">
        <v>278</v>
      </c>
      <c r="D64" s="1" t="s">
        <v>279</v>
      </c>
      <c r="E64" s="1" t="s">
        <v>156</v>
      </c>
      <c r="F64" s="1" t="s">
        <v>149</v>
      </c>
      <c r="G64" s="1" t="b">
        <v>1</v>
      </c>
    </row>
    <row r="65" spans="2:7" x14ac:dyDescent="0.3">
      <c r="B65" s="1" t="s">
        <v>280</v>
      </c>
      <c r="C65" s="1" t="s">
        <v>192</v>
      </c>
      <c r="D65" s="1" t="s">
        <v>193</v>
      </c>
      <c r="E65" s="1" t="s">
        <v>148</v>
      </c>
      <c r="F65" s="1" t="s">
        <v>153</v>
      </c>
      <c r="G65" s="1" t="b">
        <v>1</v>
      </c>
    </row>
    <row r="66" spans="2:7" x14ac:dyDescent="0.3">
      <c r="B66" s="1" t="s">
        <v>281</v>
      </c>
      <c r="C66" s="1" t="s">
        <v>215</v>
      </c>
      <c r="D66" s="1" t="s">
        <v>216</v>
      </c>
      <c r="E66" s="1" t="s">
        <v>171</v>
      </c>
      <c r="F66" s="1" t="s">
        <v>153</v>
      </c>
      <c r="G66" s="1" t="b">
        <v>0</v>
      </c>
    </row>
    <row r="67" spans="2:7" x14ac:dyDescent="0.3">
      <c r="B67" s="1" t="s">
        <v>282</v>
      </c>
      <c r="C67" s="1" t="s">
        <v>283</v>
      </c>
      <c r="D67" s="1" t="s">
        <v>284</v>
      </c>
      <c r="E67" s="1" t="s">
        <v>156</v>
      </c>
      <c r="F67" s="1" t="s">
        <v>149</v>
      </c>
      <c r="G67" s="1" t="b">
        <v>1</v>
      </c>
    </row>
    <row r="68" spans="2:7" x14ac:dyDescent="0.3">
      <c r="B68" s="1" t="s">
        <v>285</v>
      </c>
      <c r="C68" s="1" t="s">
        <v>286</v>
      </c>
      <c r="D68" s="1" t="s">
        <v>287</v>
      </c>
      <c r="E68" s="1" t="s">
        <v>156</v>
      </c>
      <c r="F68" s="1" t="s">
        <v>149</v>
      </c>
      <c r="G68" s="1" t="b">
        <v>1</v>
      </c>
    </row>
    <row r="69" spans="2:7" x14ac:dyDescent="0.3">
      <c r="B69" s="1" t="s">
        <v>288</v>
      </c>
      <c r="C69" s="1" t="s">
        <v>215</v>
      </c>
      <c r="D69" s="1" t="s">
        <v>289</v>
      </c>
      <c r="E69" s="1" t="s">
        <v>171</v>
      </c>
      <c r="F69" s="1" t="s">
        <v>153</v>
      </c>
      <c r="G69" s="1" t="b">
        <v>1</v>
      </c>
    </row>
    <row r="70" spans="2:7" x14ac:dyDescent="0.3">
      <c r="B70" s="1" t="s">
        <v>290</v>
      </c>
      <c r="C70" s="1" t="s">
        <v>192</v>
      </c>
      <c r="D70" s="1" t="s">
        <v>291</v>
      </c>
      <c r="E70" s="1" t="s">
        <v>148</v>
      </c>
      <c r="F70" s="1" t="s">
        <v>149</v>
      </c>
      <c r="G70" s="1" t="b">
        <v>1</v>
      </c>
    </row>
    <row r="71" spans="2:7" x14ac:dyDescent="0.3">
      <c r="B71" s="1" t="s">
        <v>292</v>
      </c>
      <c r="C71" s="1" t="s">
        <v>272</v>
      </c>
      <c r="D71" s="1" t="s">
        <v>273</v>
      </c>
      <c r="E71" s="1" t="s">
        <v>171</v>
      </c>
      <c r="F71" s="1" t="s">
        <v>187</v>
      </c>
      <c r="G71" s="1" t="b">
        <v>1</v>
      </c>
    </row>
    <row r="72" spans="2:7" x14ac:dyDescent="0.3">
      <c r="B72" s="1" t="s">
        <v>293</v>
      </c>
      <c r="C72" s="1" t="s">
        <v>215</v>
      </c>
      <c r="D72" s="1" t="s">
        <v>216</v>
      </c>
      <c r="E72" s="1" t="s">
        <v>148</v>
      </c>
      <c r="F72" s="1" t="s">
        <v>153</v>
      </c>
      <c r="G72" s="1" t="b">
        <v>0</v>
      </c>
    </row>
    <row r="73" spans="2:7" x14ac:dyDescent="0.3">
      <c r="B73" s="1" t="s">
        <v>294</v>
      </c>
      <c r="C73" s="1" t="s">
        <v>207</v>
      </c>
      <c r="D73" s="1" t="s">
        <v>295</v>
      </c>
      <c r="E73" s="1" t="s">
        <v>148</v>
      </c>
      <c r="F73" s="1" t="s">
        <v>153</v>
      </c>
      <c r="G73" s="1" t="b">
        <v>1</v>
      </c>
    </row>
    <row r="74" spans="2:7" x14ac:dyDescent="0.3">
      <c r="B74" s="1" t="s">
        <v>296</v>
      </c>
      <c r="C74" s="1" t="s">
        <v>215</v>
      </c>
      <c r="D74" s="1" t="s">
        <v>297</v>
      </c>
      <c r="E74" s="1" t="s">
        <v>156</v>
      </c>
      <c r="F74" s="1" t="s">
        <v>153</v>
      </c>
      <c r="G74" s="1" t="b">
        <v>1</v>
      </c>
    </row>
    <row r="75" spans="2:7" x14ac:dyDescent="0.3">
      <c r="B75" s="1" t="s">
        <v>298</v>
      </c>
      <c r="C75" s="1" t="s">
        <v>207</v>
      </c>
      <c r="D75" s="1" t="s">
        <v>299</v>
      </c>
      <c r="E75" s="1" t="s">
        <v>148</v>
      </c>
      <c r="F75" s="1" t="s">
        <v>149</v>
      </c>
      <c r="G75" s="1" t="b">
        <v>1</v>
      </c>
    </row>
    <row r="76" spans="2:7" x14ac:dyDescent="0.3">
      <c r="B76" s="1" t="s">
        <v>300</v>
      </c>
      <c r="C76" s="1" t="s">
        <v>161</v>
      </c>
      <c r="D76" s="1" t="s">
        <v>301</v>
      </c>
      <c r="E76" s="1" t="s">
        <v>171</v>
      </c>
      <c r="F76" s="1" t="s">
        <v>153</v>
      </c>
      <c r="G76" s="1" t="b">
        <v>1</v>
      </c>
    </row>
    <row r="77" spans="2:7" x14ac:dyDescent="0.3">
      <c r="B77" s="1" t="s">
        <v>302</v>
      </c>
      <c r="C77" s="1" t="s">
        <v>161</v>
      </c>
      <c r="D77" s="1" t="s">
        <v>195</v>
      </c>
      <c r="E77" s="1" t="s">
        <v>148</v>
      </c>
      <c r="F77" s="1" t="s">
        <v>153</v>
      </c>
      <c r="G77" s="1" t="b">
        <v>1</v>
      </c>
    </row>
    <row r="78" spans="2:7" x14ac:dyDescent="0.3">
      <c r="B78" s="1" t="s">
        <v>303</v>
      </c>
      <c r="C78" s="1" t="s">
        <v>161</v>
      </c>
      <c r="D78" s="1" t="s">
        <v>181</v>
      </c>
      <c r="E78" s="1" t="s">
        <v>156</v>
      </c>
      <c r="F78" s="1" t="s">
        <v>153</v>
      </c>
      <c r="G78" s="1" t="b">
        <v>0</v>
      </c>
    </row>
    <row r="79" spans="2:7" x14ac:dyDescent="0.3">
      <c r="B79" s="1" t="s">
        <v>304</v>
      </c>
      <c r="C79" s="1" t="s">
        <v>218</v>
      </c>
      <c r="D79" s="1" t="s">
        <v>305</v>
      </c>
      <c r="E79" s="1" t="s">
        <v>156</v>
      </c>
      <c r="F79" s="1" t="s">
        <v>149</v>
      </c>
      <c r="G79" s="1" t="b">
        <v>1</v>
      </c>
    </row>
    <row r="80" spans="2:7" x14ac:dyDescent="0.3">
      <c r="B80" s="1" t="s">
        <v>306</v>
      </c>
      <c r="C80" s="1" t="s">
        <v>207</v>
      </c>
      <c r="D80" s="1" t="s">
        <v>307</v>
      </c>
      <c r="E80" s="1" t="s">
        <v>148</v>
      </c>
      <c r="F80" s="1" t="s">
        <v>149</v>
      </c>
      <c r="G80" s="1" t="b">
        <v>1</v>
      </c>
    </row>
    <row r="81" spans="2:7" x14ac:dyDescent="0.3">
      <c r="B81" s="1" t="s">
        <v>308</v>
      </c>
      <c r="C81" s="1" t="s">
        <v>309</v>
      </c>
      <c r="D81" s="1" t="s">
        <v>310</v>
      </c>
      <c r="E81" s="1" t="s">
        <v>156</v>
      </c>
      <c r="F81" s="1" t="s">
        <v>149</v>
      </c>
      <c r="G81" s="1" t="b">
        <v>1</v>
      </c>
    </row>
    <row r="82" spans="2:7" x14ac:dyDescent="0.3">
      <c r="B82" s="1" t="s">
        <v>311</v>
      </c>
      <c r="C82" s="1" t="s">
        <v>161</v>
      </c>
      <c r="D82" s="1" t="s">
        <v>195</v>
      </c>
      <c r="E82" s="1" t="s">
        <v>148</v>
      </c>
      <c r="F82" s="1" t="s">
        <v>153</v>
      </c>
      <c r="G82" s="1" t="b">
        <v>1</v>
      </c>
    </row>
    <row r="83" spans="2:7" x14ac:dyDescent="0.3">
      <c r="B83" s="1" t="s">
        <v>312</v>
      </c>
      <c r="C83" s="1" t="s">
        <v>225</v>
      </c>
      <c r="D83" s="1" t="s">
        <v>313</v>
      </c>
      <c r="E83" s="1" t="s">
        <v>148</v>
      </c>
      <c r="F83" s="1" t="s">
        <v>153</v>
      </c>
      <c r="G83" s="1" t="b">
        <v>0</v>
      </c>
    </row>
    <row r="84" spans="2:7" x14ac:dyDescent="0.3">
      <c r="B84" s="1" t="s">
        <v>314</v>
      </c>
      <c r="C84" s="1" t="s">
        <v>218</v>
      </c>
      <c r="D84" s="1" t="s">
        <v>270</v>
      </c>
      <c r="E84" s="1" t="s">
        <v>156</v>
      </c>
      <c r="F84" s="1" t="s">
        <v>153</v>
      </c>
      <c r="G84" s="1" t="b">
        <v>1</v>
      </c>
    </row>
    <row r="85" spans="2:7" x14ac:dyDescent="0.3">
      <c r="B85" s="1" t="s">
        <v>315</v>
      </c>
      <c r="C85" s="1" t="s">
        <v>218</v>
      </c>
      <c r="D85" s="1" t="s">
        <v>219</v>
      </c>
      <c r="E85" s="1" t="s">
        <v>168</v>
      </c>
      <c r="F85" s="1" t="s">
        <v>153</v>
      </c>
      <c r="G85" s="1" t="b">
        <v>1</v>
      </c>
    </row>
    <row r="86" spans="2:7" x14ac:dyDescent="0.3">
      <c r="B86" s="1" t="s">
        <v>316</v>
      </c>
      <c r="C86" s="1" t="s">
        <v>173</v>
      </c>
      <c r="D86" s="1" t="s">
        <v>317</v>
      </c>
      <c r="E86" s="1" t="s">
        <v>171</v>
      </c>
      <c r="F86" s="1" t="s">
        <v>149</v>
      </c>
      <c r="G86" s="1" t="b">
        <v>0</v>
      </c>
    </row>
    <row r="87" spans="2:7" x14ac:dyDescent="0.3">
      <c r="B87" s="1" t="s">
        <v>318</v>
      </c>
      <c r="C87" s="1" t="s">
        <v>173</v>
      </c>
      <c r="D87" s="1" t="s">
        <v>174</v>
      </c>
      <c r="E87" s="1" t="s">
        <v>171</v>
      </c>
      <c r="F87" s="1" t="s">
        <v>149</v>
      </c>
      <c r="G87" s="1" t="b">
        <v>0</v>
      </c>
    </row>
    <row r="88" spans="2:7" x14ac:dyDescent="0.3">
      <c r="B88" s="1" t="s">
        <v>319</v>
      </c>
      <c r="C88" s="1" t="s">
        <v>151</v>
      </c>
      <c r="D88" s="1" t="s">
        <v>264</v>
      </c>
      <c r="E88" s="1" t="s">
        <v>171</v>
      </c>
      <c r="F88" s="1" t="s">
        <v>153</v>
      </c>
      <c r="G88" s="1" t="b">
        <v>1</v>
      </c>
    </row>
    <row r="89" spans="2:7" x14ac:dyDescent="0.3">
      <c r="B89" s="1" t="s">
        <v>320</v>
      </c>
      <c r="C89" s="1" t="s">
        <v>321</v>
      </c>
      <c r="D89" s="1" t="s">
        <v>322</v>
      </c>
      <c r="E89" s="1" t="s">
        <v>156</v>
      </c>
      <c r="F89" s="1" t="s">
        <v>153</v>
      </c>
      <c r="G89" s="1" t="b">
        <v>0</v>
      </c>
    </row>
    <row r="90" spans="2:7" x14ac:dyDescent="0.3">
      <c r="B90" s="1" t="s">
        <v>323</v>
      </c>
      <c r="C90" s="1" t="s">
        <v>151</v>
      </c>
      <c r="D90" s="1" t="s">
        <v>324</v>
      </c>
      <c r="E90" s="1" t="s">
        <v>171</v>
      </c>
      <c r="F90" s="1" t="s">
        <v>149</v>
      </c>
      <c r="G90" s="1" t="b">
        <v>1</v>
      </c>
    </row>
    <row r="91" spans="2:7" x14ac:dyDescent="0.3">
      <c r="B91" s="1" t="s">
        <v>325</v>
      </c>
      <c r="C91" s="1" t="s">
        <v>161</v>
      </c>
      <c r="D91" s="1" t="s">
        <v>326</v>
      </c>
      <c r="E91" s="1" t="s">
        <v>171</v>
      </c>
      <c r="F91" s="1" t="s">
        <v>153</v>
      </c>
      <c r="G91" s="1" t="b">
        <v>1</v>
      </c>
    </row>
    <row r="92" spans="2:7" x14ac:dyDescent="0.3">
      <c r="B92" s="1" t="s">
        <v>327</v>
      </c>
      <c r="C92" s="1" t="s">
        <v>161</v>
      </c>
      <c r="D92" s="1" t="s">
        <v>328</v>
      </c>
      <c r="E92" s="1" t="s">
        <v>148</v>
      </c>
      <c r="F92" s="1" t="s">
        <v>153</v>
      </c>
      <c r="G92" s="1" t="b">
        <v>1</v>
      </c>
    </row>
    <row r="93" spans="2:7" x14ac:dyDescent="0.3">
      <c r="B93" s="1" t="s">
        <v>329</v>
      </c>
      <c r="C93" s="1" t="s">
        <v>161</v>
      </c>
      <c r="D93" s="1" t="s">
        <v>195</v>
      </c>
      <c r="E93" s="1" t="s">
        <v>156</v>
      </c>
      <c r="F93" s="1" t="s">
        <v>153</v>
      </c>
      <c r="G93" s="1" t="b">
        <v>1</v>
      </c>
    </row>
    <row r="94" spans="2:7" x14ac:dyDescent="0.3">
      <c r="B94" s="1" t="s">
        <v>330</v>
      </c>
      <c r="C94" s="1" t="s">
        <v>161</v>
      </c>
      <c r="D94" s="1" t="s">
        <v>331</v>
      </c>
      <c r="E94" s="1" t="s">
        <v>156</v>
      </c>
      <c r="F94" s="1" t="s">
        <v>149</v>
      </c>
      <c r="G94" s="1" t="b">
        <v>1</v>
      </c>
    </row>
    <row r="95" spans="2:7" x14ac:dyDescent="0.3">
      <c r="B95" s="1" t="s">
        <v>332</v>
      </c>
      <c r="C95" s="1" t="s">
        <v>218</v>
      </c>
      <c r="D95" s="1" t="s">
        <v>333</v>
      </c>
      <c r="E95" s="1" t="s">
        <v>156</v>
      </c>
      <c r="F95" s="1" t="s">
        <v>149</v>
      </c>
      <c r="G95" s="1" t="b">
        <v>0</v>
      </c>
    </row>
    <row r="96" spans="2:7" x14ac:dyDescent="0.3">
      <c r="B96" s="1" t="s">
        <v>334</v>
      </c>
      <c r="C96" s="1" t="s">
        <v>335</v>
      </c>
      <c r="D96" s="1" t="s">
        <v>336</v>
      </c>
      <c r="E96" s="1" t="s">
        <v>148</v>
      </c>
      <c r="F96" s="1" t="s">
        <v>153</v>
      </c>
      <c r="G96" s="1" t="b">
        <v>1</v>
      </c>
    </row>
    <row r="97" spans="2:7" x14ac:dyDescent="0.3">
      <c r="B97" s="1" t="s">
        <v>337</v>
      </c>
      <c r="C97" s="1" t="s">
        <v>338</v>
      </c>
      <c r="D97" s="1" t="s">
        <v>339</v>
      </c>
      <c r="E97" s="1" t="s">
        <v>148</v>
      </c>
      <c r="F97" s="1" t="s">
        <v>149</v>
      </c>
      <c r="G97" s="1" t="b">
        <v>0</v>
      </c>
    </row>
    <row r="98" spans="2:7" x14ac:dyDescent="0.3">
      <c r="B98" s="1" t="s">
        <v>340</v>
      </c>
      <c r="C98" s="1" t="s">
        <v>179</v>
      </c>
      <c r="D98" s="1" t="s">
        <v>341</v>
      </c>
      <c r="E98" s="1" t="s">
        <v>148</v>
      </c>
      <c r="F98" s="1" t="s">
        <v>149</v>
      </c>
      <c r="G98" s="1" t="b">
        <v>1</v>
      </c>
    </row>
    <row r="99" spans="2:7" x14ac:dyDescent="0.3">
      <c r="B99" s="1" t="s">
        <v>342</v>
      </c>
      <c r="C99" s="1" t="s">
        <v>161</v>
      </c>
      <c r="D99" s="1" t="s">
        <v>301</v>
      </c>
      <c r="E99" s="1" t="s">
        <v>171</v>
      </c>
      <c r="F99" s="1" t="s">
        <v>153</v>
      </c>
      <c r="G99" s="1" t="b">
        <v>1</v>
      </c>
    </row>
    <row r="100" spans="2:7" x14ac:dyDescent="0.3">
      <c r="B100" s="1" t="s">
        <v>343</v>
      </c>
      <c r="C100" s="1" t="s">
        <v>161</v>
      </c>
      <c r="D100" s="1" t="s">
        <v>170</v>
      </c>
      <c r="E100" s="1" t="s">
        <v>168</v>
      </c>
      <c r="F100" s="1" t="s">
        <v>153</v>
      </c>
      <c r="G100" s="1" t="b">
        <v>1</v>
      </c>
    </row>
    <row r="101" spans="2:7" x14ac:dyDescent="0.3">
      <c r="B101" s="1" t="s">
        <v>344</v>
      </c>
      <c r="C101" s="1" t="s">
        <v>345</v>
      </c>
      <c r="D101" s="1" t="s">
        <v>346</v>
      </c>
      <c r="E101" s="1" t="s">
        <v>156</v>
      </c>
      <c r="F101" s="1" t="s">
        <v>153</v>
      </c>
      <c r="G101" s="1" t="b">
        <v>1</v>
      </c>
    </row>
    <row r="102" spans="2:7" x14ac:dyDescent="0.3">
      <c r="B102" s="1" t="s">
        <v>347</v>
      </c>
      <c r="C102" s="1" t="s">
        <v>146</v>
      </c>
      <c r="D102" s="1" t="s">
        <v>155</v>
      </c>
      <c r="E102" s="1" t="s">
        <v>156</v>
      </c>
      <c r="F102" s="1" t="s">
        <v>149</v>
      </c>
      <c r="G102" s="1" t="b">
        <v>0</v>
      </c>
    </row>
    <row r="103" spans="2:7" x14ac:dyDescent="0.3">
      <c r="B103" s="1" t="s">
        <v>348</v>
      </c>
      <c r="C103" s="1" t="s">
        <v>164</v>
      </c>
      <c r="D103" s="1" t="s">
        <v>167</v>
      </c>
      <c r="E103" s="1" t="s">
        <v>156</v>
      </c>
      <c r="F103" s="1" t="s">
        <v>149</v>
      </c>
      <c r="G103" s="1" t="b">
        <v>0</v>
      </c>
    </row>
    <row r="104" spans="2:7" x14ac:dyDescent="0.3">
      <c r="B104" s="1" t="s">
        <v>349</v>
      </c>
      <c r="C104" s="1" t="s">
        <v>215</v>
      </c>
      <c r="D104" s="1" t="s">
        <v>350</v>
      </c>
      <c r="E104" s="1" t="s">
        <v>156</v>
      </c>
      <c r="F104" s="1" t="s">
        <v>187</v>
      </c>
      <c r="G104" s="1" t="b">
        <v>1</v>
      </c>
    </row>
    <row r="105" spans="2:7" x14ac:dyDescent="0.3">
      <c r="B105" s="1" t="s">
        <v>351</v>
      </c>
      <c r="C105" s="1" t="s">
        <v>286</v>
      </c>
      <c r="D105" s="1" t="s">
        <v>352</v>
      </c>
      <c r="E105" s="1" t="s">
        <v>148</v>
      </c>
      <c r="F105" s="1" t="s">
        <v>153</v>
      </c>
      <c r="G105" s="1" t="b">
        <v>1</v>
      </c>
    </row>
    <row r="106" spans="2:7" x14ac:dyDescent="0.3">
      <c r="B106" s="1" t="s">
        <v>353</v>
      </c>
      <c r="C106" s="1" t="s">
        <v>146</v>
      </c>
      <c r="D106" s="1" t="s">
        <v>155</v>
      </c>
      <c r="E106" s="1" t="s">
        <v>171</v>
      </c>
      <c r="F106" s="1" t="s">
        <v>149</v>
      </c>
      <c r="G106" s="1" t="b">
        <v>0</v>
      </c>
    </row>
    <row r="107" spans="2:7" x14ac:dyDescent="0.3">
      <c r="B107" s="1" t="s">
        <v>354</v>
      </c>
      <c r="C107" s="1" t="s">
        <v>355</v>
      </c>
      <c r="D107" s="1" t="s">
        <v>356</v>
      </c>
      <c r="E107" s="1" t="s">
        <v>156</v>
      </c>
      <c r="F107" s="1" t="s">
        <v>153</v>
      </c>
      <c r="G107" s="1" t="b">
        <v>0</v>
      </c>
    </row>
    <row r="108" spans="2:7" x14ac:dyDescent="0.3">
      <c r="B108" s="1" t="s">
        <v>357</v>
      </c>
      <c r="C108" s="1" t="s">
        <v>151</v>
      </c>
      <c r="D108" s="1" t="s">
        <v>233</v>
      </c>
      <c r="E108" s="1" t="s">
        <v>156</v>
      </c>
      <c r="F108" s="1" t="s">
        <v>153</v>
      </c>
      <c r="G108" s="1" t="b">
        <v>1</v>
      </c>
    </row>
    <row r="109" spans="2:7" x14ac:dyDescent="0.3">
      <c r="B109" s="1" t="s">
        <v>358</v>
      </c>
      <c r="C109" s="1" t="s">
        <v>359</v>
      </c>
      <c r="D109" s="1" t="s">
        <v>360</v>
      </c>
      <c r="E109" s="1" t="s">
        <v>171</v>
      </c>
      <c r="F109" s="1" t="s">
        <v>153</v>
      </c>
      <c r="G109" s="1" t="b">
        <v>1</v>
      </c>
    </row>
    <row r="110" spans="2:7" x14ac:dyDescent="0.3">
      <c r="B110" s="1" t="s">
        <v>361</v>
      </c>
      <c r="C110" s="1" t="s">
        <v>215</v>
      </c>
      <c r="D110" s="1" t="s">
        <v>297</v>
      </c>
      <c r="E110" s="1" t="s">
        <v>171</v>
      </c>
      <c r="F110" s="1" t="s">
        <v>187</v>
      </c>
      <c r="G110" s="1" t="b">
        <v>1</v>
      </c>
    </row>
    <row r="111" spans="2:7" x14ac:dyDescent="0.3">
      <c r="B111" s="1" t="s">
        <v>362</v>
      </c>
      <c r="C111" s="1" t="s">
        <v>363</v>
      </c>
      <c r="D111" s="1" t="s">
        <v>259</v>
      </c>
      <c r="E111" s="1" t="s">
        <v>148</v>
      </c>
      <c r="F111" s="1" t="s">
        <v>153</v>
      </c>
      <c r="G111" s="1" t="b">
        <v>1</v>
      </c>
    </row>
    <row r="112" spans="2:7" x14ac:dyDescent="0.3">
      <c r="B112" s="1" t="s">
        <v>364</v>
      </c>
      <c r="C112" s="1" t="s">
        <v>365</v>
      </c>
      <c r="D112" s="1" t="s">
        <v>366</v>
      </c>
      <c r="E112" s="1" t="s">
        <v>156</v>
      </c>
      <c r="F112" s="1" t="s">
        <v>149</v>
      </c>
      <c r="G112" s="1" t="b">
        <v>1</v>
      </c>
    </row>
    <row r="113" spans="2:7" x14ac:dyDescent="0.3">
      <c r="B113" s="1" t="s">
        <v>367</v>
      </c>
      <c r="C113" s="1" t="s">
        <v>201</v>
      </c>
      <c r="D113" s="1" t="s">
        <v>368</v>
      </c>
      <c r="E113" s="1" t="s">
        <v>148</v>
      </c>
      <c r="F113" s="1" t="s">
        <v>153</v>
      </c>
      <c r="G113" s="1" t="b">
        <v>1</v>
      </c>
    </row>
    <row r="114" spans="2:7" x14ac:dyDescent="0.3">
      <c r="B114" s="1" t="s">
        <v>369</v>
      </c>
      <c r="C114" s="1" t="s">
        <v>151</v>
      </c>
      <c r="D114" s="1" t="s">
        <v>370</v>
      </c>
      <c r="E114" s="1" t="s">
        <v>171</v>
      </c>
      <c r="F114" s="1" t="s">
        <v>153</v>
      </c>
      <c r="G114" s="1" t="b">
        <v>1</v>
      </c>
    </row>
    <row r="115" spans="2:7" x14ac:dyDescent="0.3">
      <c r="B115" s="1" t="s">
        <v>371</v>
      </c>
      <c r="C115" s="1" t="s">
        <v>365</v>
      </c>
      <c r="D115" s="1" t="s">
        <v>372</v>
      </c>
      <c r="E115" s="1" t="s">
        <v>156</v>
      </c>
      <c r="F115" s="1" t="s">
        <v>149</v>
      </c>
      <c r="G115" s="1" t="b">
        <v>1</v>
      </c>
    </row>
    <row r="116" spans="2:7" x14ac:dyDescent="0.3">
      <c r="B116" s="1" t="s">
        <v>373</v>
      </c>
      <c r="C116" s="1" t="s">
        <v>374</v>
      </c>
      <c r="D116" s="1" t="s">
        <v>375</v>
      </c>
      <c r="E116" s="1" t="s">
        <v>148</v>
      </c>
      <c r="F116" s="1" t="s">
        <v>149</v>
      </c>
      <c r="G116" s="1" t="b">
        <v>1</v>
      </c>
    </row>
    <row r="117" spans="2:7" x14ac:dyDescent="0.3">
      <c r="B117" s="1" t="s">
        <v>376</v>
      </c>
      <c r="C117" s="1" t="s">
        <v>146</v>
      </c>
      <c r="D117" s="1" t="s">
        <v>262</v>
      </c>
      <c r="E117" s="1" t="s">
        <v>156</v>
      </c>
      <c r="F117" s="1" t="s">
        <v>153</v>
      </c>
      <c r="G117" s="1" t="b">
        <v>0</v>
      </c>
    </row>
    <row r="118" spans="2:7" x14ac:dyDescent="0.3">
      <c r="B118" s="1" t="s">
        <v>377</v>
      </c>
      <c r="C118" s="1" t="s">
        <v>161</v>
      </c>
      <c r="D118" s="1" t="s">
        <v>170</v>
      </c>
      <c r="E118" s="1" t="s">
        <v>156</v>
      </c>
      <c r="F118" s="1" t="s">
        <v>153</v>
      </c>
      <c r="G118" s="1" t="b">
        <v>1</v>
      </c>
    </row>
    <row r="119" spans="2:7" x14ac:dyDescent="0.3">
      <c r="B119" s="1" t="s">
        <v>378</v>
      </c>
      <c r="C119" s="1" t="s">
        <v>225</v>
      </c>
      <c r="D119" s="1" t="s">
        <v>313</v>
      </c>
      <c r="E119" s="1" t="s">
        <v>148</v>
      </c>
      <c r="F119" s="1" t="s">
        <v>153</v>
      </c>
      <c r="G119" s="1" t="b">
        <v>1</v>
      </c>
    </row>
    <row r="120" spans="2:7" x14ac:dyDescent="0.3">
      <c r="B120" s="1" t="s">
        <v>379</v>
      </c>
      <c r="C120" s="1" t="s">
        <v>161</v>
      </c>
      <c r="D120" s="1" t="s">
        <v>181</v>
      </c>
      <c r="E120" s="1" t="s">
        <v>148</v>
      </c>
      <c r="F120" s="1" t="s">
        <v>153</v>
      </c>
      <c r="G120" s="1" t="b">
        <v>1</v>
      </c>
    </row>
    <row r="121" spans="2:7" x14ac:dyDescent="0.3">
      <c r="B121" s="1" t="s">
        <v>380</v>
      </c>
      <c r="C121" s="1" t="s">
        <v>204</v>
      </c>
      <c r="D121" s="1" t="s">
        <v>381</v>
      </c>
      <c r="E121" s="1" t="s">
        <v>156</v>
      </c>
      <c r="F121" s="1" t="s">
        <v>153</v>
      </c>
      <c r="G121" s="1" t="b">
        <v>1</v>
      </c>
    </row>
    <row r="122" spans="2:7" x14ac:dyDescent="0.3">
      <c r="B122" s="1" t="s">
        <v>382</v>
      </c>
      <c r="C122" s="1" t="s">
        <v>151</v>
      </c>
      <c r="D122" s="1" t="s">
        <v>383</v>
      </c>
      <c r="E122" s="1" t="s">
        <v>156</v>
      </c>
      <c r="F122" s="1" t="s">
        <v>149</v>
      </c>
      <c r="G122" s="1" t="b">
        <v>1</v>
      </c>
    </row>
    <row r="123" spans="2:7" x14ac:dyDescent="0.3">
      <c r="B123" s="1" t="s">
        <v>384</v>
      </c>
      <c r="C123" s="1" t="s">
        <v>161</v>
      </c>
      <c r="D123" s="1" t="s">
        <v>385</v>
      </c>
      <c r="E123" s="1" t="s">
        <v>156</v>
      </c>
      <c r="F123" s="1" t="s">
        <v>153</v>
      </c>
      <c r="G123" s="1" t="b">
        <v>1</v>
      </c>
    </row>
    <row r="124" spans="2:7" x14ac:dyDescent="0.3">
      <c r="B124" s="1" t="s">
        <v>386</v>
      </c>
      <c r="C124" s="1" t="s">
        <v>173</v>
      </c>
      <c r="D124" s="1" t="s">
        <v>387</v>
      </c>
      <c r="E124" s="1" t="s">
        <v>148</v>
      </c>
      <c r="F124" s="1" t="s">
        <v>187</v>
      </c>
      <c r="G124" s="1" t="b">
        <v>1</v>
      </c>
    </row>
    <row r="125" spans="2:7" x14ac:dyDescent="0.3">
      <c r="B125" s="1" t="s">
        <v>388</v>
      </c>
      <c r="C125" s="1" t="s">
        <v>173</v>
      </c>
      <c r="D125" s="1" t="s">
        <v>174</v>
      </c>
      <c r="E125" s="1" t="s">
        <v>171</v>
      </c>
      <c r="F125" s="1" t="s">
        <v>149</v>
      </c>
      <c r="G125" s="1" t="b">
        <v>0</v>
      </c>
    </row>
    <row r="126" spans="2:7" x14ac:dyDescent="0.3">
      <c r="B126" s="1" t="s">
        <v>389</v>
      </c>
      <c r="C126" s="1" t="s">
        <v>192</v>
      </c>
      <c r="D126" s="1" t="s">
        <v>390</v>
      </c>
      <c r="E126" s="1" t="s">
        <v>156</v>
      </c>
      <c r="F126" s="1" t="s">
        <v>153</v>
      </c>
      <c r="G126" s="1" t="b">
        <v>1</v>
      </c>
    </row>
    <row r="127" spans="2:7" x14ac:dyDescent="0.3">
      <c r="B127" s="1" t="s">
        <v>391</v>
      </c>
      <c r="C127" s="1" t="s">
        <v>225</v>
      </c>
      <c r="D127" s="1" t="s">
        <v>313</v>
      </c>
      <c r="E127" s="1" t="s">
        <v>156</v>
      </c>
      <c r="F127" s="1" t="s">
        <v>153</v>
      </c>
      <c r="G127" s="1" t="b">
        <v>0</v>
      </c>
    </row>
    <row r="128" spans="2:7" x14ac:dyDescent="0.3">
      <c r="B128" s="1" t="s">
        <v>392</v>
      </c>
      <c r="C128" s="1" t="s">
        <v>173</v>
      </c>
      <c r="D128" s="1" t="s">
        <v>174</v>
      </c>
      <c r="E128" s="1" t="s">
        <v>156</v>
      </c>
      <c r="F128" s="1" t="s">
        <v>149</v>
      </c>
      <c r="G128" s="1" t="b">
        <v>0</v>
      </c>
    </row>
    <row r="129" spans="2:7" x14ac:dyDescent="0.3">
      <c r="B129" s="1" t="s">
        <v>393</v>
      </c>
      <c r="C129" s="1" t="s">
        <v>151</v>
      </c>
      <c r="D129" s="1" t="s">
        <v>394</v>
      </c>
      <c r="E129" s="1" t="s">
        <v>148</v>
      </c>
      <c r="F129" s="1" t="s">
        <v>153</v>
      </c>
      <c r="G129" s="1" t="b">
        <v>1</v>
      </c>
    </row>
    <row r="130" spans="2:7" x14ac:dyDescent="0.3">
      <c r="B130" s="1" t="s">
        <v>395</v>
      </c>
      <c r="C130" s="1" t="s">
        <v>335</v>
      </c>
      <c r="D130" s="1" t="s">
        <v>396</v>
      </c>
      <c r="E130" s="1" t="s">
        <v>148</v>
      </c>
      <c r="F130" s="1" t="s">
        <v>153</v>
      </c>
      <c r="G130" s="1" t="b">
        <v>1</v>
      </c>
    </row>
    <row r="131" spans="2:7" x14ac:dyDescent="0.3">
      <c r="B131" s="1" t="s">
        <v>397</v>
      </c>
      <c r="C131" s="1" t="s">
        <v>225</v>
      </c>
      <c r="D131" s="1" t="s">
        <v>398</v>
      </c>
      <c r="E131" s="1" t="s">
        <v>171</v>
      </c>
      <c r="F131" s="1" t="s">
        <v>153</v>
      </c>
      <c r="G131" s="1" t="b">
        <v>1</v>
      </c>
    </row>
    <row r="132" spans="2:7" x14ac:dyDescent="0.3">
      <c r="B132" s="1" t="s">
        <v>399</v>
      </c>
      <c r="C132" s="1" t="s">
        <v>230</v>
      </c>
      <c r="D132" s="1" t="s">
        <v>400</v>
      </c>
      <c r="E132" s="1" t="s">
        <v>148</v>
      </c>
      <c r="F132" s="1" t="s">
        <v>153</v>
      </c>
      <c r="G132" s="1" t="b">
        <v>1</v>
      </c>
    </row>
    <row r="133" spans="2:7" x14ac:dyDescent="0.3">
      <c r="B133" s="1" t="s">
        <v>401</v>
      </c>
      <c r="C133" s="1" t="s">
        <v>215</v>
      </c>
      <c r="D133" s="1" t="s">
        <v>216</v>
      </c>
      <c r="E133" s="1" t="s">
        <v>148</v>
      </c>
      <c r="F133" s="1" t="s">
        <v>153</v>
      </c>
      <c r="G133" s="1" t="b">
        <v>0</v>
      </c>
    </row>
    <row r="134" spans="2:7" x14ac:dyDescent="0.3">
      <c r="B134" s="1" t="s">
        <v>402</v>
      </c>
      <c r="C134" s="1" t="s">
        <v>215</v>
      </c>
      <c r="D134" s="1" t="s">
        <v>216</v>
      </c>
      <c r="E134" s="1" t="s">
        <v>148</v>
      </c>
      <c r="F134" s="1" t="s">
        <v>153</v>
      </c>
      <c r="G134" s="1" t="b">
        <v>0</v>
      </c>
    </row>
    <row r="135" spans="2:7" x14ac:dyDescent="0.3">
      <c r="B135" s="1" t="s">
        <v>403</v>
      </c>
      <c r="C135" s="1" t="s">
        <v>161</v>
      </c>
      <c r="D135" s="1" t="s">
        <v>162</v>
      </c>
      <c r="E135" s="1" t="s">
        <v>148</v>
      </c>
      <c r="F135" s="1" t="s">
        <v>153</v>
      </c>
      <c r="G135" s="1" t="b">
        <v>1</v>
      </c>
    </row>
    <row r="136" spans="2:7" x14ac:dyDescent="0.3">
      <c r="B136" s="1" t="s">
        <v>404</v>
      </c>
      <c r="C136" s="1" t="s">
        <v>146</v>
      </c>
      <c r="D136" s="1" t="s">
        <v>262</v>
      </c>
      <c r="E136" s="1" t="s">
        <v>148</v>
      </c>
      <c r="F136" s="1" t="s">
        <v>153</v>
      </c>
      <c r="G136" s="1" t="b">
        <v>0</v>
      </c>
    </row>
    <row r="137" spans="2:7" x14ac:dyDescent="0.3">
      <c r="B137" s="1" t="s">
        <v>405</v>
      </c>
      <c r="C137" s="1" t="s">
        <v>161</v>
      </c>
      <c r="D137" s="1" t="s">
        <v>406</v>
      </c>
      <c r="E137" s="1" t="s">
        <v>148</v>
      </c>
      <c r="F137" s="1" t="s">
        <v>153</v>
      </c>
      <c r="G137" s="1" t="b">
        <v>1</v>
      </c>
    </row>
    <row r="138" spans="2:7" x14ac:dyDescent="0.3">
      <c r="B138" s="1" t="s">
        <v>407</v>
      </c>
      <c r="C138" s="1" t="s">
        <v>345</v>
      </c>
      <c r="D138" s="1" t="s">
        <v>346</v>
      </c>
      <c r="E138" s="1" t="s">
        <v>156</v>
      </c>
      <c r="F138" s="1" t="s">
        <v>153</v>
      </c>
      <c r="G138" s="1" t="b">
        <v>1</v>
      </c>
    </row>
    <row r="139" spans="2:7" x14ac:dyDescent="0.3">
      <c r="B139" s="1" t="s">
        <v>408</v>
      </c>
      <c r="C139" s="1" t="s">
        <v>189</v>
      </c>
      <c r="D139" s="1" t="s">
        <v>409</v>
      </c>
      <c r="E139" s="1" t="s">
        <v>148</v>
      </c>
      <c r="F139" s="1" t="s">
        <v>153</v>
      </c>
      <c r="G139" s="1" t="b">
        <v>1</v>
      </c>
    </row>
    <row r="140" spans="2:7" x14ac:dyDescent="0.3">
      <c r="B140" s="1" t="s">
        <v>503</v>
      </c>
      <c r="C140" s="1" t="s">
        <v>192</v>
      </c>
      <c r="D140" s="1" t="s">
        <v>504</v>
      </c>
      <c r="E140" s="1" t="s">
        <v>171</v>
      </c>
      <c r="F140" s="1" t="s">
        <v>187</v>
      </c>
      <c r="G140" s="1" t="b">
        <v>0</v>
      </c>
    </row>
    <row r="141" spans="2:7" x14ac:dyDescent="0.3">
      <c r="B141" s="1" t="s">
        <v>410</v>
      </c>
      <c r="C141" s="1" t="s">
        <v>272</v>
      </c>
      <c r="D141" s="1" t="s">
        <v>411</v>
      </c>
      <c r="E141" s="1" t="s">
        <v>156</v>
      </c>
      <c r="F141" s="1" t="s">
        <v>149</v>
      </c>
      <c r="G141" s="1" t="b">
        <v>1</v>
      </c>
    </row>
    <row r="142" spans="2:7" x14ac:dyDescent="0.3">
      <c r="B142" s="1" t="s">
        <v>412</v>
      </c>
      <c r="C142" s="1" t="s">
        <v>413</v>
      </c>
      <c r="D142" s="1" t="s">
        <v>414</v>
      </c>
      <c r="E142" s="1" t="s">
        <v>148</v>
      </c>
      <c r="F142" s="1" t="s">
        <v>149</v>
      </c>
      <c r="G142" s="1" t="b">
        <v>1</v>
      </c>
    </row>
    <row r="143" spans="2:7" x14ac:dyDescent="0.3">
      <c r="B143" s="1" t="s">
        <v>415</v>
      </c>
      <c r="C143" s="1" t="s">
        <v>345</v>
      </c>
      <c r="D143" s="1" t="s">
        <v>416</v>
      </c>
      <c r="E143" s="1" t="s">
        <v>156</v>
      </c>
      <c r="F143" s="1" t="s">
        <v>149</v>
      </c>
      <c r="G143" s="1" t="b">
        <v>1</v>
      </c>
    </row>
    <row r="144" spans="2:7" x14ac:dyDescent="0.3">
      <c r="B144" s="1" t="s">
        <v>417</v>
      </c>
      <c r="C144" s="1" t="s">
        <v>161</v>
      </c>
      <c r="D144" s="1" t="s">
        <v>195</v>
      </c>
      <c r="E144" s="1" t="s">
        <v>148</v>
      </c>
      <c r="F144" s="1" t="s">
        <v>153</v>
      </c>
      <c r="G144" s="1" t="b">
        <v>1</v>
      </c>
    </row>
    <row r="145" spans="2:7" x14ac:dyDescent="0.3">
      <c r="B145" s="1" t="s">
        <v>418</v>
      </c>
      <c r="C145" s="1" t="s">
        <v>419</v>
      </c>
      <c r="D145" s="1" t="s">
        <v>420</v>
      </c>
      <c r="E145" s="1" t="s">
        <v>156</v>
      </c>
      <c r="F145" s="1" t="s">
        <v>149</v>
      </c>
      <c r="G145" s="1" t="b">
        <v>0</v>
      </c>
    </row>
    <row r="146" spans="2:7" x14ac:dyDescent="0.3">
      <c r="B146" s="1" t="s">
        <v>421</v>
      </c>
      <c r="C146" s="1" t="s">
        <v>422</v>
      </c>
      <c r="D146" s="1" t="s">
        <v>423</v>
      </c>
      <c r="E146" s="1" t="s">
        <v>148</v>
      </c>
      <c r="F146" s="1" t="s">
        <v>149</v>
      </c>
      <c r="G146" s="1" t="b">
        <v>0</v>
      </c>
    </row>
    <row r="147" spans="2:7" x14ac:dyDescent="0.3">
      <c r="B147" s="1" t="s">
        <v>424</v>
      </c>
      <c r="C147" s="1" t="s">
        <v>225</v>
      </c>
      <c r="D147" s="1" t="s">
        <v>398</v>
      </c>
      <c r="E147" s="1" t="s">
        <v>148</v>
      </c>
      <c r="F147" s="1" t="s">
        <v>153</v>
      </c>
      <c r="G147" s="1" t="b">
        <v>1</v>
      </c>
    </row>
    <row r="148" spans="2:7" x14ac:dyDescent="0.3">
      <c r="B148" s="1" t="s">
        <v>425</v>
      </c>
      <c r="C148" s="1" t="s">
        <v>161</v>
      </c>
      <c r="D148" s="1" t="s">
        <v>162</v>
      </c>
      <c r="E148" s="1" t="s">
        <v>171</v>
      </c>
      <c r="F148" s="1" t="s">
        <v>153</v>
      </c>
      <c r="G148" s="1" t="b">
        <v>1</v>
      </c>
    </row>
    <row r="149" spans="2:7" x14ac:dyDescent="0.3">
      <c r="B149" s="1" t="s">
        <v>426</v>
      </c>
      <c r="C149" s="1" t="s">
        <v>161</v>
      </c>
      <c r="D149" s="1" t="s">
        <v>259</v>
      </c>
      <c r="E149" s="1" t="s">
        <v>148</v>
      </c>
      <c r="F149" s="1" t="s">
        <v>187</v>
      </c>
      <c r="G149" s="1" t="b">
        <v>1</v>
      </c>
    </row>
    <row r="150" spans="2:7" x14ac:dyDescent="0.3">
      <c r="B150" s="1" t="s">
        <v>427</v>
      </c>
      <c r="C150" s="1" t="s">
        <v>161</v>
      </c>
      <c r="D150" s="1" t="s">
        <v>428</v>
      </c>
      <c r="E150" s="1" t="s">
        <v>148</v>
      </c>
      <c r="F150" s="1" t="s">
        <v>153</v>
      </c>
      <c r="G150" s="1" t="b">
        <v>1</v>
      </c>
    </row>
    <row r="151" spans="2:7" x14ac:dyDescent="0.3">
      <c r="B151" s="1" t="s">
        <v>429</v>
      </c>
      <c r="C151" s="1" t="s">
        <v>161</v>
      </c>
      <c r="D151" s="1" t="s">
        <v>430</v>
      </c>
      <c r="E151" s="1" t="s">
        <v>148</v>
      </c>
      <c r="F151" s="1" t="s">
        <v>149</v>
      </c>
      <c r="G151" s="1" t="b">
        <v>1</v>
      </c>
    </row>
    <row r="152" spans="2:7" x14ac:dyDescent="0.3">
      <c r="B152" s="1" t="s">
        <v>431</v>
      </c>
      <c r="C152" s="1" t="s">
        <v>161</v>
      </c>
      <c r="D152" s="1" t="s">
        <v>162</v>
      </c>
      <c r="E152" s="1" t="s">
        <v>171</v>
      </c>
      <c r="F152" s="1" t="s">
        <v>153</v>
      </c>
      <c r="G152" s="1" t="b">
        <v>1</v>
      </c>
    </row>
    <row r="153" spans="2:7" x14ac:dyDescent="0.3">
      <c r="B153" s="1" t="s">
        <v>432</v>
      </c>
      <c r="C153" s="1" t="s">
        <v>161</v>
      </c>
      <c r="D153" s="1" t="s">
        <v>433</v>
      </c>
      <c r="E153" s="1" t="s">
        <v>171</v>
      </c>
      <c r="F153" s="1" t="s">
        <v>153</v>
      </c>
      <c r="G153" s="1" t="b">
        <v>1</v>
      </c>
    </row>
    <row r="154" spans="2:7" x14ac:dyDescent="0.3">
      <c r="B154" s="1" t="s">
        <v>434</v>
      </c>
      <c r="C154" s="1" t="s">
        <v>161</v>
      </c>
      <c r="D154" s="1" t="s">
        <v>428</v>
      </c>
      <c r="E154" s="1" t="s">
        <v>148</v>
      </c>
      <c r="F154" s="1" t="s">
        <v>153</v>
      </c>
      <c r="G154" s="1" t="b">
        <v>1</v>
      </c>
    </row>
    <row r="155" spans="2:7" x14ac:dyDescent="0.3">
      <c r="B155" s="1" t="s">
        <v>435</v>
      </c>
      <c r="C155" s="1" t="s">
        <v>161</v>
      </c>
      <c r="D155" s="1" t="s">
        <v>430</v>
      </c>
      <c r="E155" s="1" t="s">
        <v>148</v>
      </c>
      <c r="F155" s="1" t="s">
        <v>149</v>
      </c>
      <c r="G155" s="1" t="b">
        <v>1</v>
      </c>
    </row>
    <row r="156" spans="2:7" x14ac:dyDescent="0.3">
      <c r="B156" s="1" t="s">
        <v>436</v>
      </c>
      <c r="C156" s="1" t="s">
        <v>161</v>
      </c>
      <c r="D156" s="1" t="s">
        <v>259</v>
      </c>
      <c r="E156" s="1" t="s">
        <v>148</v>
      </c>
      <c r="F156" s="1" t="s">
        <v>153</v>
      </c>
      <c r="G156" s="1" t="b">
        <v>1</v>
      </c>
    </row>
    <row r="157" spans="2:7" x14ac:dyDescent="0.3">
      <c r="B157" s="1" t="s">
        <v>437</v>
      </c>
      <c r="C157" s="1" t="s">
        <v>161</v>
      </c>
      <c r="D157" s="1" t="s">
        <v>195</v>
      </c>
      <c r="E157" s="1" t="s">
        <v>148</v>
      </c>
      <c r="F157" s="1" t="s">
        <v>153</v>
      </c>
      <c r="G157" s="1" t="b">
        <v>1</v>
      </c>
    </row>
    <row r="158" spans="2:7" x14ac:dyDescent="0.3">
      <c r="B158" s="1" t="s">
        <v>438</v>
      </c>
      <c r="C158" s="1" t="s">
        <v>158</v>
      </c>
      <c r="D158" s="1" t="s">
        <v>439</v>
      </c>
      <c r="E158" s="1" t="s">
        <v>168</v>
      </c>
      <c r="F158" s="1" t="s">
        <v>153</v>
      </c>
      <c r="G158" s="1" t="b">
        <v>1</v>
      </c>
    </row>
    <row r="159" spans="2:7" x14ac:dyDescent="0.3">
      <c r="B159" s="1" t="s">
        <v>440</v>
      </c>
      <c r="C159" s="1" t="s">
        <v>218</v>
      </c>
      <c r="D159" s="1" t="s">
        <v>441</v>
      </c>
      <c r="E159" s="1" t="s">
        <v>171</v>
      </c>
      <c r="F159" s="1" t="s">
        <v>153</v>
      </c>
      <c r="G159" s="1" t="b">
        <v>1</v>
      </c>
    </row>
    <row r="160" spans="2:7" x14ac:dyDescent="0.3">
      <c r="B160" s="1" t="s">
        <v>442</v>
      </c>
      <c r="C160" s="1" t="s">
        <v>161</v>
      </c>
      <c r="D160" s="1" t="s">
        <v>443</v>
      </c>
      <c r="E160" s="1" t="s">
        <v>171</v>
      </c>
      <c r="F160" s="1" t="s">
        <v>187</v>
      </c>
      <c r="G160" s="1" t="b">
        <v>1</v>
      </c>
    </row>
    <row r="161" spans="2:7" x14ac:dyDescent="0.3">
      <c r="B161" s="1" t="s">
        <v>444</v>
      </c>
      <c r="C161" s="1" t="s">
        <v>192</v>
      </c>
      <c r="D161" s="1" t="s">
        <v>445</v>
      </c>
      <c r="E161" s="1" t="s">
        <v>171</v>
      </c>
      <c r="F161" s="1" t="s">
        <v>153</v>
      </c>
      <c r="G161" s="1" t="b">
        <v>1</v>
      </c>
    </row>
    <row r="162" spans="2:7" x14ac:dyDescent="0.3">
      <c r="B162" s="1" t="s">
        <v>446</v>
      </c>
      <c r="C162" s="1" t="s">
        <v>151</v>
      </c>
      <c r="D162" s="1" t="s">
        <v>394</v>
      </c>
      <c r="E162" s="1" t="s">
        <v>171</v>
      </c>
      <c r="F162" s="1" t="s">
        <v>153</v>
      </c>
      <c r="G162" s="1" t="b">
        <v>1</v>
      </c>
    </row>
    <row r="163" spans="2:7" x14ac:dyDescent="0.3">
      <c r="B163" s="1" t="s">
        <v>447</v>
      </c>
      <c r="C163" s="1" t="s">
        <v>161</v>
      </c>
      <c r="D163" s="1" t="s">
        <v>195</v>
      </c>
      <c r="E163" s="1" t="s">
        <v>156</v>
      </c>
      <c r="F163" s="1" t="s">
        <v>153</v>
      </c>
      <c r="G163" s="1" t="b">
        <v>1</v>
      </c>
    </row>
    <row r="164" spans="2:7" x14ac:dyDescent="0.3">
      <c r="B164" s="1" t="s">
        <v>448</v>
      </c>
      <c r="C164" s="1" t="s">
        <v>161</v>
      </c>
      <c r="D164" s="1" t="s">
        <v>301</v>
      </c>
      <c r="E164" s="1" t="s">
        <v>171</v>
      </c>
      <c r="F164" s="1" t="s">
        <v>153</v>
      </c>
      <c r="G164" s="1" t="b">
        <v>1</v>
      </c>
    </row>
    <row r="165" spans="2:7" x14ac:dyDescent="0.3">
      <c r="B165" s="1" t="s">
        <v>449</v>
      </c>
      <c r="C165" s="1" t="s">
        <v>450</v>
      </c>
      <c r="D165" s="1" t="s">
        <v>451</v>
      </c>
      <c r="E165" s="1" t="s">
        <v>156</v>
      </c>
      <c r="F165" s="1" t="s">
        <v>149</v>
      </c>
      <c r="G165" s="1" t="b">
        <v>0</v>
      </c>
    </row>
    <row r="166" spans="2:7" x14ac:dyDescent="0.3">
      <c r="B166" s="1" t="s">
        <v>452</v>
      </c>
      <c r="C166" s="1" t="s">
        <v>453</v>
      </c>
      <c r="D166" s="1" t="s">
        <v>454</v>
      </c>
      <c r="E166" s="1" t="s">
        <v>171</v>
      </c>
      <c r="F166" s="1" t="s">
        <v>153</v>
      </c>
      <c r="G166" s="1" t="b">
        <v>0</v>
      </c>
    </row>
    <row r="167" spans="2:7" x14ac:dyDescent="0.3">
      <c r="B167" s="1" t="s">
        <v>455</v>
      </c>
      <c r="C167" s="1" t="s">
        <v>456</v>
      </c>
      <c r="D167" s="1" t="s">
        <v>457</v>
      </c>
      <c r="E167" s="1" t="s">
        <v>156</v>
      </c>
      <c r="F167" s="1" t="s">
        <v>149</v>
      </c>
      <c r="G167" s="1" t="b">
        <v>1</v>
      </c>
    </row>
    <row r="168" spans="2:7" x14ac:dyDescent="0.3">
      <c r="B168" s="1" t="s">
        <v>458</v>
      </c>
      <c r="C168" s="1" t="s">
        <v>146</v>
      </c>
      <c r="D168" s="1" t="s">
        <v>155</v>
      </c>
      <c r="E168" s="1" t="s">
        <v>171</v>
      </c>
      <c r="F168" s="1" t="s">
        <v>149</v>
      </c>
      <c r="G168" s="1" t="b">
        <v>0</v>
      </c>
    </row>
    <row r="169" spans="2:7" x14ac:dyDescent="0.3">
      <c r="B169" s="1" t="s">
        <v>459</v>
      </c>
      <c r="C169" s="1" t="s">
        <v>161</v>
      </c>
      <c r="D169" s="1" t="s">
        <v>259</v>
      </c>
      <c r="E169" s="1" t="s">
        <v>156</v>
      </c>
      <c r="F169" s="1" t="s">
        <v>153</v>
      </c>
      <c r="G169" s="1" t="b">
        <v>1</v>
      </c>
    </row>
    <row r="170" spans="2:7" x14ac:dyDescent="0.3">
      <c r="B170" s="1" t="s">
        <v>460</v>
      </c>
      <c r="C170" s="1" t="s">
        <v>161</v>
      </c>
      <c r="D170" s="1" t="s">
        <v>331</v>
      </c>
      <c r="E170" s="1" t="s">
        <v>156</v>
      </c>
      <c r="F170" s="1" t="s">
        <v>149</v>
      </c>
      <c r="G170" s="1" t="b">
        <v>1</v>
      </c>
    </row>
    <row r="171" spans="2:7" x14ac:dyDescent="0.3">
      <c r="B171" s="1" t="s">
        <v>461</v>
      </c>
      <c r="C171" s="1" t="s">
        <v>164</v>
      </c>
      <c r="D171" s="1" t="s">
        <v>462</v>
      </c>
      <c r="E171" s="1" t="s">
        <v>156</v>
      </c>
      <c r="F171" s="1" t="s">
        <v>153</v>
      </c>
      <c r="G171" s="1" t="b">
        <v>1</v>
      </c>
    </row>
    <row r="172" spans="2:7" x14ac:dyDescent="0.3">
      <c r="B172" s="1" t="s">
        <v>463</v>
      </c>
      <c r="C172" s="1" t="s">
        <v>464</v>
      </c>
      <c r="D172" s="1" t="s">
        <v>465</v>
      </c>
      <c r="E172" s="1" t="s">
        <v>156</v>
      </c>
      <c r="F172" s="1" t="s">
        <v>153</v>
      </c>
      <c r="G172" s="1" t="b">
        <v>0</v>
      </c>
    </row>
    <row r="173" spans="2:7" x14ac:dyDescent="0.3">
      <c r="B173" s="1" t="s">
        <v>466</v>
      </c>
      <c r="C173" s="1" t="s">
        <v>453</v>
      </c>
      <c r="D173" s="1" t="s">
        <v>454</v>
      </c>
      <c r="E173" s="1" t="s">
        <v>156</v>
      </c>
      <c r="F173" s="1" t="s">
        <v>153</v>
      </c>
      <c r="G173" s="1" t="b">
        <v>0</v>
      </c>
    </row>
    <row r="174" spans="2:7" x14ac:dyDescent="0.3">
      <c r="B174" s="1" t="s">
        <v>467</v>
      </c>
      <c r="C174" s="1" t="s">
        <v>218</v>
      </c>
      <c r="D174" s="1" t="s">
        <v>468</v>
      </c>
      <c r="E174" s="1" t="s">
        <v>156</v>
      </c>
      <c r="F174" s="1" t="s">
        <v>153</v>
      </c>
      <c r="G174" s="1" t="b">
        <v>1</v>
      </c>
    </row>
    <row r="175" spans="2:7" x14ac:dyDescent="0.3">
      <c r="B175" s="1" t="s">
        <v>469</v>
      </c>
      <c r="C175" s="1" t="s">
        <v>218</v>
      </c>
      <c r="D175" s="1" t="s">
        <v>470</v>
      </c>
      <c r="E175" s="1" t="s">
        <v>171</v>
      </c>
      <c r="F175" s="1" t="s">
        <v>149</v>
      </c>
      <c r="G175" s="1" t="b">
        <v>0</v>
      </c>
    </row>
    <row r="176" spans="2:7" x14ac:dyDescent="0.3">
      <c r="B176" s="1" t="s">
        <v>471</v>
      </c>
      <c r="C176" s="1" t="s">
        <v>218</v>
      </c>
      <c r="D176" s="1" t="s">
        <v>470</v>
      </c>
      <c r="E176" s="1" t="s">
        <v>171</v>
      </c>
      <c r="F176" s="1" t="s">
        <v>149</v>
      </c>
      <c r="G176" s="1" t="b">
        <v>0</v>
      </c>
    </row>
    <row r="177" spans="2:7" x14ac:dyDescent="0.3">
      <c r="B177" s="1" t="s">
        <v>472</v>
      </c>
      <c r="C177" s="1" t="s">
        <v>151</v>
      </c>
      <c r="D177" s="1" t="s">
        <v>473</v>
      </c>
      <c r="E177" s="1" t="s">
        <v>148</v>
      </c>
      <c r="F177" s="1" t="s">
        <v>153</v>
      </c>
      <c r="G177" s="1" t="b">
        <v>1</v>
      </c>
    </row>
    <row r="178" spans="2:7" x14ac:dyDescent="0.3">
      <c r="B178" s="1" t="s">
        <v>474</v>
      </c>
      <c r="C178" s="1" t="s">
        <v>475</v>
      </c>
      <c r="D178" s="1" t="s">
        <v>476</v>
      </c>
      <c r="E178" s="1" t="s">
        <v>148</v>
      </c>
      <c r="F178" s="1" t="s">
        <v>187</v>
      </c>
      <c r="G178" s="1" t="b">
        <v>1</v>
      </c>
    </row>
    <row r="179" spans="2:7" x14ac:dyDescent="0.3">
      <c r="B179" s="1" t="s">
        <v>477</v>
      </c>
      <c r="C179" s="1" t="s">
        <v>161</v>
      </c>
      <c r="D179" s="1" t="s">
        <v>181</v>
      </c>
      <c r="E179" s="1" t="s">
        <v>156</v>
      </c>
      <c r="F179" s="1" t="s">
        <v>153</v>
      </c>
      <c r="G179" s="1" t="b">
        <v>1</v>
      </c>
    </row>
    <row r="180" spans="2:7" x14ac:dyDescent="0.3">
      <c r="B180" s="1" t="s">
        <v>478</v>
      </c>
      <c r="C180" s="1" t="s">
        <v>164</v>
      </c>
      <c r="D180" s="1" t="s">
        <v>479</v>
      </c>
      <c r="E180" s="1" t="s">
        <v>171</v>
      </c>
      <c r="F180" s="1" t="s">
        <v>153</v>
      </c>
      <c r="G180" s="1" t="b">
        <v>1</v>
      </c>
    </row>
    <row r="181" spans="2:7" x14ac:dyDescent="0.3">
      <c r="B181" s="1" t="s">
        <v>480</v>
      </c>
      <c r="C181" s="1" t="s">
        <v>481</v>
      </c>
      <c r="D181" s="1" t="s">
        <v>482</v>
      </c>
      <c r="E181" s="1" t="s">
        <v>168</v>
      </c>
      <c r="F181" s="1" t="s">
        <v>153</v>
      </c>
      <c r="G181" s="1" t="b">
        <v>1</v>
      </c>
    </row>
    <row r="182" spans="2:7" x14ac:dyDescent="0.3">
      <c r="B182" s="1" t="s">
        <v>483</v>
      </c>
      <c r="C182" s="1" t="s">
        <v>484</v>
      </c>
      <c r="D182" s="1" t="s">
        <v>485</v>
      </c>
      <c r="E182" s="1" t="s">
        <v>156</v>
      </c>
      <c r="F182" s="1" t="s">
        <v>149</v>
      </c>
      <c r="G182" s="1" t="b">
        <v>0</v>
      </c>
    </row>
  </sheetData>
  <conditionalFormatting sqref="B5:G182">
    <cfRule type="expression" dxfId="8" priority="1">
      <formula>($G5=FALSE)</formula>
    </cfRule>
  </conditionalFormatting>
  <dataValidations count="1">
    <dataValidation type="list" allowBlank="1" showInputMessage="1" showErrorMessage="1" sqref="C2" xr:uid="{F3284221-7F7C-45AF-AD09-D39436E9C01B}">
      <formula1>"Jaq,Free,Excel Pro, Excel Guru"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BE0C4-850B-4796-9B63-6FBFE22B3530}">
  <sheetPr codeName="Sheet2"/>
  <dimension ref="B1:R29"/>
  <sheetViews>
    <sheetView showGridLines="0" tabSelected="1" zoomScale="115" zoomScaleNormal="115" workbookViewId="0">
      <pane xSplit="4" ySplit="3" topLeftCell="E4" activePane="bottomRight" state="frozen"/>
      <selection activeCell="I13" sqref="I13"/>
      <selection pane="topRight" activeCell="I13" sqref="I13"/>
      <selection pane="bottomLeft" activeCell="I13" sqref="I13"/>
      <selection pane="bottomRight" activeCell="N4" sqref="N4"/>
    </sheetView>
  </sheetViews>
  <sheetFormatPr defaultColWidth="9.23046875" defaultRowHeight="18.75" x14ac:dyDescent="0.3"/>
  <cols>
    <col min="1" max="1" width="2.3046875" style="1" customWidth="1"/>
    <col min="2" max="2" width="3.07421875" style="1" customWidth="1"/>
    <col min="3" max="3" width="32.61328125" style="1" bestFit="1" customWidth="1"/>
    <col min="4" max="4" width="5.921875" style="1" bestFit="1" customWidth="1"/>
    <col min="5" max="5" width="32.61328125" style="1" bestFit="1" customWidth="1"/>
    <col min="6" max="6" width="9.23046875" style="1"/>
    <col min="7" max="7" width="7.07421875" style="1" bestFit="1" customWidth="1"/>
    <col min="8" max="8" width="7.07421875" style="1" customWidth="1"/>
    <col min="9" max="10" width="6.921875" style="1" customWidth="1"/>
    <col min="11" max="11" width="8" style="1" customWidth="1"/>
    <col min="12" max="12" width="9.765625" style="1" bestFit="1" customWidth="1"/>
    <col min="13" max="15" width="9.23046875" style="1"/>
    <col min="16" max="16" width="8.15234375" style="1" customWidth="1"/>
    <col min="17" max="17" width="7.921875" style="1" customWidth="1"/>
    <col min="18" max="16384" width="9.23046875" style="1"/>
  </cols>
  <sheetData>
    <row r="1" spans="2:18" ht="10.5" customHeight="1" x14ac:dyDescent="0.3"/>
    <row r="2" spans="2:18" ht="40.5" customHeight="1" x14ac:dyDescent="0.3">
      <c r="D2" s="1">
        <f ca="1">IFERROR(AVERAGEIFS(_xlfn.ANCHORARRAY(D4),_xlfn.ANCHORARRAY(D4),"&lt;&gt;0"),0)</f>
        <v>0.48000000000000009</v>
      </c>
      <c r="F2" s="1">
        <f>IFERROR(AVERAGEIFS(_xlfn.ANCHORARRAY(F4),_xlfn.ANCHORARRAY(F4),"&lt;&gt;0"),0)</f>
        <v>0.39999999999999997</v>
      </c>
      <c r="G2" s="2"/>
      <c r="H2" s="2"/>
      <c r="N2" s="3" t="s">
        <v>0</v>
      </c>
      <c r="O2" s="4"/>
      <c r="P2" s="4"/>
      <c r="Q2" s="4"/>
    </row>
    <row r="3" spans="2:18" ht="37.5" x14ac:dyDescent="0.3">
      <c r="C3" s="5" t="s">
        <v>1</v>
      </c>
      <c r="D3" s="5" t="s">
        <v>2</v>
      </c>
      <c r="E3" s="5" t="s">
        <v>3</v>
      </c>
      <c r="F3" s="5" t="s">
        <v>2</v>
      </c>
      <c r="G3" s="5" t="s">
        <v>4</v>
      </c>
      <c r="H3" s="5" t="s">
        <v>5</v>
      </c>
      <c r="I3" s="6" t="s">
        <v>6</v>
      </c>
      <c r="J3" s="6" t="s">
        <v>634</v>
      </c>
      <c r="K3" s="6" t="s">
        <v>7</v>
      </c>
      <c r="L3" s="6" t="s">
        <v>8</v>
      </c>
      <c r="N3" s="5" t="s">
        <v>4</v>
      </c>
      <c r="O3" s="6" t="s">
        <v>6</v>
      </c>
      <c r="P3" s="6" t="s">
        <v>7</v>
      </c>
      <c r="Q3" s="6" t="s">
        <v>8</v>
      </c>
      <c r="R3" s="6" t="s">
        <v>9</v>
      </c>
    </row>
    <row r="4" spans="2:18" x14ac:dyDescent="0.3">
      <c r="B4" s="1" t="str" cm="1">
        <f t="array" ref="B4:B29">Letters()</f>
        <v>A</v>
      </c>
      <c r="C4" s="1" t="str" cm="1">
        <f t="array" aca="1" ref="C4" ca="1">_xlfn.LET(
   _xlpm.games, _xlfn._xlws.FILTER(CaseList[Name], (LEFT(CaseList[Name]) = B4)*(CaseList[Access]=TRUE)),
   _xlpm.count, IF(ISERROR(ROWS(_xlpm.games)), 0, ROWS(_xlpm.games)),
   _xlpm.random, IF(_xlpm.count = 0, "NONE", INDEX(_xlpm.games, RANDBETWEEN(1, _xlpm.count))),
   _xlpm.random
)</f>
        <v>A Licence on a Plate</v>
      </c>
      <c r="D4" s="1" cm="1">
        <f t="array" aca="1" ref="D4:D29" ca="1">(_xlfn.XMATCH(IF((C4:C29="NONE")+(C4:C29=""),"",_xlfn.XLOOKUP(C4:C29,CaseList[Name],CaseList[Difficulty])),{"","Easy","Moderate","Hard","Very Hard"},0)-1)/5</f>
        <v>0.6</v>
      </c>
      <c r="E4" s="1" t="s">
        <v>10</v>
      </c>
      <c r="F4" s="1" cm="1">
        <f t="array" ref="F4:F29">(_xlfn.XMATCH(IF((E4:E29="NONE")+(E4:E29=""),"",_xlfn.XLOOKUP(E4:E29,CaseList[Name],CaseList[Difficulty])),{"","Easy","Moderate","Hard","Very Hard"},0)-1)/5</f>
        <v>0.4</v>
      </c>
      <c r="G4" s="1">
        <v>1000</v>
      </c>
      <c r="H4" s="1">
        <f>20+7/60</f>
        <v>20.116666666666667</v>
      </c>
      <c r="I4" s="1">
        <f>20+7/60</f>
        <v>20.116666666666667</v>
      </c>
      <c r="J4" s="1">
        <v>2</v>
      </c>
      <c r="K4" s="1">
        <f>7+58/60</f>
        <v>7.9666666666666668</v>
      </c>
      <c r="L4" s="1">
        <f>38/60</f>
        <v>0.6333333333333333</v>
      </c>
      <c r="N4" s="1">
        <f t="shared" ref="N4:N5" si="0">IF(G4="",NA(),G4/30)</f>
        <v>33.333333333333336</v>
      </c>
      <c r="O4" s="1">
        <f t="shared" ref="O4:O29" si="1">IFERROR($R4/I4,NA())</f>
        <v>49.710024855012428</v>
      </c>
      <c r="P4" s="1">
        <f t="shared" ref="P4:P29" si="2">IFERROR($R4/K4,NA())</f>
        <v>125.52301255230125</v>
      </c>
      <c r="Q4" s="1">
        <f t="shared" ref="Q4:Q29" si="3">IFERROR($R4/L4,NA())</f>
        <v>1578.9473684210527</v>
      </c>
      <c r="R4" s="1">
        <v>1000</v>
      </c>
    </row>
    <row r="5" spans="2:18" x14ac:dyDescent="0.3">
      <c r="B5" s="1" t="str">
        <v>B</v>
      </c>
      <c r="C5" s="1" t="str" cm="1">
        <f t="array" aca="1" ref="C5" ca="1">_xlfn.LET(
   _xlpm.games, _xlfn._xlws.FILTER(CaseList[Name], (LEFT(CaseList[Name]) = B5)*(CaseList[Access]=TRUE)),
   _xlpm.count, IF(ISERROR(ROWS(_xlpm.games)), 0, ROWS(_xlpm.games)),
   _xlpm.random, IF(_xlpm.count = 0, "NONE", INDEX(_xlpm.games, RANDBETWEEN(1, _xlpm.count))),
   _xlpm.random
)</f>
        <v>Battleship</v>
      </c>
      <c r="D5" s="1">
        <f ca="1"/>
        <v>0.2</v>
      </c>
      <c r="E5" s="1" t="s">
        <v>11</v>
      </c>
      <c r="F5" s="1">
        <v>0.6</v>
      </c>
      <c r="G5" s="1">
        <v>404</v>
      </c>
      <c r="H5" s="1">
        <v>30</v>
      </c>
      <c r="I5" s="1">
        <f>71+34/60</f>
        <v>71.566666666666663</v>
      </c>
      <c r="J5" s="1">
        <v>25</v>
      </c>
      <c r="K5" s="1">
        <f>49+12/60</f>
        <v>49.2</v>
      </c>
      <c r="L5" s="1">
        <f>4+7/60</f>
        <v>4.1166666666666663</v>
      </c>
      <c r="N5" s="1">
        <f t="shared" si="0"/>
        <v>13.466666666666667</v>
      </c>
      <c r="O5" s="1">
        <f t="shared" si="1"/>
        <v>17.466231951560317</v>
      </c>
      <c r="P5" s="1">
        <f t="shared" si="2"/>
        <v>25.40650406504065</v>
      </c>
      <c r="Q5" s="1">
        <f t="shared" si="3"/>
        <v>303.64372469635629</v>
      </c>
      <c r="R5" s="1">
        <v>1250</v>
      </c>
    </row>
    <row r="6" spans="2:18" x14ac:dyDescent="0.3">
      <c r="B6" s="1" t="str">
        <v>C</v>
      </c>
      <c r="C6" s="1" t="str" cm="1">
        <f t="array" aca="1" ref="C6" ca="1">_xlfn.LET(
   _xlpm.games, _xlfn._xlws.FILTER(CaseList[Name], (LEFT(CaseList[Name]) = B6)*(CaseList[Access]=TRUE)),
   _xlpm.count, IF(ISERROR(ROWS(_xlpm.games)), 0, ROWS(_xlpm.games)),
   _xlpm.random, IF(_xlpm.count = 0, "NONE", INDEX(_xlpm.games, RANDBETWEEN(1, _xlpm.count))),
   _xlpm.random
)</f>
        <v>Clash On Titan</v>
      </c>
      <c r="D6" s="1">
        <f ca="1"/>
        <v>0.8</v>
      </c>
      <c r="E6" s="1" t="s">
        <v>224</v>
      </c>
      <c r="F6" s="1">
        <v>0.2</v>
      </c>
      <c r="N6" s="1" t="e">
        <f>IF(G6="",NA(),G6/30)</f>
        <v>#N/A</v>
      </c>
      <c r="O6" s="1" t="e">
        <f t="shared" si="1"/>
        <v>#N/A</v>
      </c>
      <c r="P6" s="1" t="e">
        <f t="shared" si="2"/>
        <v>#N/A</v>
      </c>
      <c r="Q6" s="1" t="e">
        <f t="shared" si="3"/>
        <v>#N/A</v>
      </c>
      <c r="R6" s="1">
        <v>1250</v>
      </c>
    </row>
    <row r="7" spans="2:18" x14ac:dyDescent="0.3">
      <c r="B7" s="1" t="str">
        <v>D</v>
      </c>
      <c r="C7" s="1" t="str" cm="1">
        <f t="array" aca="1" ref="C7" ca="1">_xlfn.LET(
   _xlpm.games, _xlfn._xlws.FILTER(CaseList[Name], (LEFT(CaseList[Name]) = B7)*(CaseList[Access]=TRUE)),
   _xlpm.count, IF(ISERROR(ROWS(_xlpm.games)), 0, ROWS(_xlpm.games)),
   _xlpm.random, IF(_xlpm.count = 0, "NONE", INDEX(_xlpm.games, RANDBETWEEN(1, _xlpm.count))),
   _xlpm.random
)</f>
        <v>Dominate the Dominoes</v>
      </c>
      <c r="D7" s="1">
        <f ca="1"/>
        <v>0.6</v>
      </c>
      <c r="F7" s="1">
        <v>0</v>
      </c>
      <c r="N7" s="1" t="e">
        <f t="shared" ref="N7:N29" si="4">IF(G7="",NA(),G7/30)</f>
        <v>#N/A</v>
      </c>
      <c r="O7" s="1" t="e">
        <f t="shared" si="1"/>
        <v>#N/A</v>
      </c>
      <c r="P7" s="1" t="e">
        <f t="shared" si="2"/>
        <v>#N/A</v>
      </c>
      <c r="Q7" s="1" t="e">
        <f t="shared" si="3"/>
        <v>#N/A</v>
      </c>
      <c r="R7" s="1">
        <v>1250</v>
      </c>
    </row>
    <row r="8" spans="2:18" x14ac:dyDescent="0.3">
      <c r="B8" s="1" t="str">
        <v>E</v>
      </c>
      <c r="C8" s="1" t="str" cm="1">
        <f t="array" aca="1" ref="C8" ca="1">_xlfn.LET(
   _xlpm.games, _xlfn._xlws.FILTER(CaseList[Name], (LEFT(CaseList[Name]) = B8)*(CaseList[Access]=TRUE)),
   _xlpm.count, IF(ISERROR(ROWS(_xlpm.games)), 0, ROWS(_xlpm.games)),
   _xlpm.random, IF(_xlpm.count = 0, "NONE", INDEX(_xlpm.games, RANDBETWEEN(1, _xlpm.count))),
   _xlpm.random
)</f>
        <v>Excel Athlete Basics Revisited</v>
      </c>
      <c r="D8" s="1">
        <f ca="1"/>
        <v>0.2</v>
      </c>
      <c r="F8" s="1">
        <v>0</v>
      </c>
      <c r="N8" s="1" t="e">
        <f t="shared" si="4"/>
        <v>#N/A</v>
      </c>
      <c r="O8" s="1" t="e">
        <f t="shared" si="1"/>
        <v>#N/A</v>
      </c>
      <c r="P8" s="1" t="e">
        <f t="shared" si="2"/>
        <v>#N/A</v>
      </c>
      <c r="Q8" s="1" t="e">
        <f t="shared" si="3"/>
        <v>#N/A</v>
      </c>
      <c r="R8" s="1">
        <v>1250</v>
      </c>
    </row>
    <row r="9" spans="2:18" x14ac:dyDescent="0.3">
      <c r="B9" s="1" t="str">
        <v>F</v>
      </c>
      <c r="C9" s="1" t="str" cm="1">
        <f t="array" aca="1" ref="C9" ca="1">_xlfn.LET(
   _xlpm.games, _xlfn._xlws.FILTER(CaseList[Name], (LEFT(CaseList[Name]) = B9)*(CaseList[Access]=TRUE)),
   _xlpm.count, IF(ISERROR(ROWS(_xlpm.games)), 0, ROWS(_xlpm.games)),
   _xlpm.random, IF(_xlpm.count = 0, "NONE", INDEX(_xlpm.games, RANDBETWEEN(1, _xlpm.count))),
   _xlpm.random
)</f>
        <v>Flower Power</v>
      </c>
      <c r="D9" s="1">
        <f ca="1"/>
        <v>0.6</v>
      </c>
      <c r="F9" s="1">
        <v>0</v>
      </c>
      <c r="N9" s="1" t="e">
        <f t="shared" si="4"/>
        <v>#N/A</v>
      </c>
      <c r="O9" s="1" t="e">
        <f t="shared" si="1"/>
        <v>#N/A</v>
      </c>
      <c r="P9" s="1" t="e">
        <f t="shared" si="2"/>
        <v>#N/A</v>
      </c>
      <c r="Q9" s="1" t="e">
        <f t="shared" si="3"/>
        <v>#N/A</v>
      </c>
      <c r="R9" s="1">
        <v>1250</v>
      </c>
    </row>
    <row r="10" spans="2:18" x14ac:dyDescent="0.3">
      <c r="B10" s="1" t="str">
        <v>G</v>
      </c>
      <c r="C10" s="1" t="str" cm="1">
        <f t="array" aca="1" ref="C10" ca="1">_xlfn.LET(
   _xlpm.games, _xlfn._xlws.FILTER(CaseList[Name], (LEFT(CaseList[Name]) = B10)*(CaseList[Access]=TRUE)),
   _xlpm.count, IF(ISERROR(ROWS(_xlpm.games)), 0, ROWS(_xlpm.games)),
   _xlpm.random, IF(_xlpm.count = 0, "NONE", INDEX(_xlpm.games, RANDBETWEEN(1, _xlpm.count))),
   _xlpm.random
)</f>
        <v>Give Me a Hand</v>
      </c>
      <c r="D10" s="1">
        <f ca="1"/>
        <v>0.6</v>
      </c>
      <c r="F10" s="1">
        <v>0</v>
      </c>
      <c r="N10" s="1" t="e">
        <f t="shared" si="4"/>
        <v>#N/A</v>
      </c>
      <c r="O10" s="1" t="e">
        <f t="shared" si="1"/>
        <v>#N/A</v>
      </c>
      <c r="P10" s="1" t="e">
        <f t="shared" si="2"/>
        <v>#N/A</v>
      </c>
      <c r="Q10" s="1" t="e">
        <f t="shared" si="3"/>
        <v>#N/A</v>
      </c>
      <c r="R10" s="1">
        <v>1250</v>
      </c>
    </row>
    <row r="11" spans="2:18" x14ac:dyDescent="0.3">
      <c r="B11" s="1" t="str">
        <v>H</v>
      </c>
      <c r="C11" s="1" t="str" cm="1">
        <f t="array" aca="1" ref="C11" ca="1">_xlfn.LET(
   _xlpm.games, _xlfn._xlws.FILTER(CaseList[Name], (LEFT(CaseList[Name]) = B11)*(CaseList[Access]=TRUE)),
   _xlpm.count, IF(ISERROR(ROWS(_xlpm.games)), 0, ROWS(_xlpm.games)),
   _xlpm.random, IF(_xlpm.count = 0, "NONE", INDEX(_xlpm.games, RANDBETWEEN(1, _xlpm.count))),
   _xlpm.random
)</f>
        <v>Hopscotch</v>
      </c>
      <c r="D11" s="1">
        <f ca="1"/>
        <v>0.6</v>
      </c>
      <c r="F11" s="1">
        <v>0</v>
      </c>
      <c r="N11" s="1" t="e">
        <f t="shared" si="4"/>
        <v>#N/A</v>
      </c>
      <c r="O11" s="1" t="e">
        <f t="shared" si="1"/>
        <v>#N/A</v>
      </c>
      <c r="P11" s="1" t="e">
        <f t="shared" si="2"/>
        <v>#N/A</v>
      </c>
      <c r="Q11" s="1" t="e">
        <f t="shared" si="3"/>
        <v>#N/A</v>
      </c>
      <c r="R11" s="1">
        <v>1250</v>
      </c>
    </row>
    <row r="12" spans="2:18" x14ac:dyDescent="0.3">
      <c r="B12" s="1" t="str">
        <v>I</v>
      </c>
      <c r="C12" s="1" t="str" cm="1">
        <f t="array" aca="1" ref="C12" ca="1">_xlfn.LET(
   _xlpm.games, _xlfn._xlws.FILTER(CaseList[Name], (LEFT(CaseList[Name]) = B12)*(CaseList[Access]=TRUE)),
   _xlpm.count, IF(ISERROR(ROWS(_xlpm.games)), 0, ROWS(_xlpm.games)),
   _xlpm.random, IF(_xlpm.count = 0, "NONE", INDEX(_xlpm.games, RANDBETWEEN(1, _xlpm.count))),
   _xlpm.random
)</f>
        <v>IsometriChaos</v>
      </c>
      <c r="D12" s="1">
        <f ca="1"/>
        <v>0.6</v>
      </c>
      <c r="F12" s="1">
        <v>0</v>
      </c>
      <c r="N12" s="1" t="e">
        <f t="shared" si="4"/>
        <v>#N/A</v>
      </c>
      <c r="O12" s="1" t="e">
        <f t="shared" si="1"/>
        <v>#N/A</v>
      </c>
      <c r="P12" s="1" t="e">
        <f t="shared" si="2"/>
        <v>#N/A</v>
      </c>
      <c r="Q12" s="1" t="e">
        <f t="shared" si="3"/>
        <v>#N/A</v>
      </c>
      <c r="R12" s="1">
        <v>1250</v>
      </c>
    </row>
    <row r="13" spans="2:18" x14ac:dyDescent="0.3">
      <c r="B13" s="1" t="str">
        <v>J</v>
      </c>
      <c r="C13" s="1" t="str" cm="1">
        <f t="array" aca="1" ref="C13" ca="1">_xlfn.LET(
   _xlpm.games, _xlfn._xlws.FILTER(CaseList[Name], (LEFT(CaseList[Name]) = B13)*(CaseList[Access]=TRUE)),
   _xlpm.count, IF(ISERROR(ROWS(_xlpm.games)), 0, ROWS(_xlpm.games)),
   _xlpm.random, IF(_xlpm.count = 0, "NONE", INDEX(_xlpm.games, RANDBETWEEN(1, _xlpm.count))),
   _xlpm.random
)</f>
        <v>Jumbled Jigsaws</v>
      </c>
      <c r="D13" s="1">
        <f ca="1"/>
        <v>0.6</v>
      </c>
      <c r="F13" s="1">
        <v>0</v>
      </c>
      <c r="N13" s="1" t="e">
        <f t="shared" si="4"/>
        <v>#N/A</v>
      </c>
      <c r="O13" s="1" t="e">
        <f t="shared" si="1"/>
        <v>#N/A</v>
      </c>
      <c r="P13" s="1" t="e">
        <f t="shared" si="2"/>
        <v>#N/A</v>
      </c>
      <c r="Q13" s="1" t="e">
        <f t="shared" si="3"/>
        <v>#N/A</v>
      </c>
      <c r="R13" s="1">
        <v>1250</v>
      </c>
    </row>
    <row r="14" spans="2:18" x14ac:dyDescent="0.3">
      <c r="B14" s="1" t="str">
        <v>K</v>
      </c>
      <c r="C14" s="1" t="str" cm="1">
        <f t="array" aca="1" ref="C14" ca="1">_xlfn.LET(
   _xlpm.games, _xlfn._xlws.FILTER(CaseList[Name], (LEFT(CaseList[Name]) = B14)*(CaseList[Access]=TRUE)),
   _xlpm.count, IF(ISERROR(ROWS(_xlpm.games)), 0, ROWS(_xlpm.games)),
   _xlpm.random, IF(_xlpm.count = 0, "NONE", INDEX(_xlpm.games, RANDBETWEEN(1, _xlpm.count))),
   _xlpm.random
)</f>
        <v>Knights and Warriors</v>
      </c>
      <c r="D14" s="1">
        <f ca="1"/>
        <v>0.4</v>
      </c>
      <c r="F14" s="1">
        <v>0</v>
      </c>
      <c r="N14" s="1" t="e">
        <f t="shared" si="4"/>
        <v>#N/A</v>
      </c>
      <c r="O14" s="1" t="e">
        <f t="shared" si="1"/>
        <v>#N/A</v>
      </c>
      <c r="P14" s="1" t="e">
        <f t="shared" si="2"/>
        <v>#N/A</v>
      </c>
      <c r="Q14" s="1" t="e">
        <f t="shared" si="3"/>
        <v>#N/A</v>
      </c>
      <c r="R14" s="1">
        <v>1250</v>
      </c>
    </row>
    <row r="15" spans="2:18" x14ac:dyDescent="0.3">
      <c r="B15" s="1" t="str">
        <v>L</v>
      </c>
      <c r="C15" s="1" t="str" cm="1">
        <f t="array" aca="1" ref="C15" ca="1">_xlfn.LET(
   _xlpm.games, _xlfn._xlws.FILTER(CaseList[Name], (LEFT(CaseList[Name]) = B15)*(CaseList[Access]=TRUE)),
   _xlpm.count, IF(ISERROR(ROWS(_xlpm.games)), 0, ROWS(_xlpm.games)),
   _xlpm.random, IF(_xlpm.count = 0, "NONE", INDEX(_xlpm.games, RANDBETWEEN(1, _xlpm.count))),
   _xlpm.random
)</f>
        <v>Ludo</v>
      </c>
      <c r="D15" s="1">
        <f ca="1"/>
        <v>0.4</v>
      </c>
      <c r="F15" s="1">
        <v>0</v>
      </c>
      <c r="N15" s="1" t="e">
        <f t="shared" si="4"/>
        <v>#N/A</v>
      </c>
      <c r="O15" s="1" t="e">
        <f t="shared" si="1"/>
        <v>#N/A</v>
      </c>
      <c r="P15" s="1" t="e">
        <f t="shared" si="2"/>
        <v>#N/A</v>
      </c>
      <c r="Q15" s="1" t="e">
        <f t="shared" si="3"/>
        <v>#N/A</v>
      </c>
      <c r="R15" s="1">
        <v>1250</v>
      </c>
    </row>
    <row r="16" spans="2:18" x14ac:dyDescent="0.3">
      <c r="B16" s="1" t="str">
        <v>M</v>
      </c>
      <c r="C16" s="1" t="str" cm="1">
        <f t="array" aca="1" ref="C16" ca="1">_xlfn.LET(
   _xlpm.games, _xlfn._xlws.FILTER(CaseList[Name], (LEFT(CaseList[Name]) = B16)*(CaseList[Access]=TRUE)),
   _xlpm.count, IF(ISERROR(ROWS(_xlpm.games)), 0, ROWS(_xlpm.games)),
   _xlpm.random, IF(_xlpm.count = 0, "NONE", INDEX(_xlpm.games, RANDBETWEEN(1, _xlpm.count))),
   _xlpm.random
)</f>
        <v>Maze</v>
      </c>
      <c r="D16" s="1">
        <f ca="1"/>
        <v>0.4</v>
      </c>
      <c r="F16" s="1">
        <v>0</v>
      </c>
      <c r="N16" s="1" t="e">
        <f t="shared" si="4"/>
        <v>#N/A</v>
      </c>
      <c r="O16" s="1" t="e">
        <f t="shared" si="1"/>
        <v>#N/A</v>
      </c>
      <c r="P16" s="1" t="e">
        <f t="shared" si="2"/>
        <v>#N/A</v>
      </c>
      <c r="Q16" s="1" t="e">
        <f t="shared" si="3"/>
        <v>#N/A</v>
      </c>
      <c r="R16" s="1">
        <v>1250</v>
      </c>
    </row>
    <row r="17" spans="2:18" x14ac:dyDescent="0.3">
      <c r="B17" s="1" t="str">
        <v>N</v>
      </c>
      <c r="C17" s="1" t="str" cm="1">
        <f t="array" aca="1" ref="C17" ca="1">_xlfn.LET(
   _xlpm.games, _xlfn._xlws.FILTER(CaseList[Name], (LEFT(CaseList[Name]) = B17)*(CaseList[Access]=TRUE)),
   _xlpm.count, IF(ISERROR(ROWS(_xlpm.games)), 0, ROWS(_xlpm.games)),
   _xlpm.random, IF(_xlpm.count = 0, "NONE", INDEX(_xlpm.games, RANDBETWEEN(1, _xlpm.count))),
   _xlpm.random
)</f>
        <v>NONE</v>
      </c>
      <c r="D17" s="1">
        <f ca="1"/>
        <v>0</v>
      </c>
      <c r="F17" s="1">
        <v>0</v>
      </c>
      <c r="N17" s="1" t="e">
        <f t="shared" si="4"/>
        <v>#N/A</v>
      </c>
      <c r="O17" s="1" t="e">
        <f t="shared" si="1"/>
        <v>#N/A</v>
      </c>
      <c r="P17" s="1" t="e">
        <f t="shared" si="2"/>
        <v>#N/A</v>
      </c>
      <c r="Q17" s="1" t="e">
        <f t="shared" si="3"/>
        <v>#N/A</v>
      </c>
      <c r="R17" s="1">
        <v>1250</v>
      </c>
    </row>
    <row r="18" spans="2:18" x14ac:dyDescent="0.3">
      <c r="B18" s="1" t="str">
        <v>O</v>
      </c>
      <c r="C18" s="1" t="str" cm="1">
        <f t="array" aca="1" ref="C18" ca="1">_xlfn.LET(
   _xlpm.games, _xlfn._xlws.FILTER(CaseList[Name], (LEFT(CaseList[Name]) = B18)*(CaseList[Access]=TRUE)),
   _xlpm.count, IF(ISERROR(ROWS(_xlpm.games)), 0, ROWS(_xlpm.games)),
   _xlpm.random, IF(_xlpm.count = 0, "NONE", INDEX(_xlpm.games, RANDBETWEEN(1, _xlpm.count))),
   _xlpm.random
)</f>
        <v>Othello</v>
      </c>
      <c r="D18" s="1">
        <f ca="1"/>
        <v>0.4</v>
      </c>
      <c r="F18" s="1">
        <v>0</v>
      </c>
      <c r="N18" s="1" t="e">
        <f t="shared" si="4"/>
        <v>#N/A</v>
      </c>
      <c r="O18" s="1" t="e">
        <f t="shared" si="1"/>
        <v>#N/A</v>
      </c>
      <c r="P18" s="1" t="e">
        <f t="shared" si="2"/>
        <v>#N/A</v>
      </c>
      <c r="Q18" s="1" t="e">
        <f t="shared" si="3"/>
        <v>#N/A</v>
      </c>
      <c r="R18" s="1">
        <v>1250</v>
      </c>
    </row>
    <row r="19" spans="2:18" x14ac:dyDescent="0.3">
      <c r="B19" s="1" t="str">
        <v>P</v>
      </c>
      <c r="C19" s="1" t="str" cm="1">
        <f t="array" aca="1" ref="C19" ca="1">_xlfn.LET(
   _xlpm.games, _xlfn._xlws.FILTER(CaseList[Name], (LEFT(CaseList[Name]) = B19)*(CaseList[Access]=TRUE)),
   _xlpm.count, IF(ISERROR(ROWS(_xlpm.games)), 0, ROWS(_xlpm.games)),
   _xlpm.random, IF(_xlpm.count = 0, "NONE", INDEX(_xlpm.games, RANDBETWEEN(1, _xlpm.count))),
   _xlpm.random
)</f>
        <v>Passing Notes</v>
      </c>
      <c r="D19" s="1">
        <f ca="1"/>
        <v>0.2</v>
      </c>
      <c r="F19" s="1">
        <v>0</v>
      </c>
      <c r="N19" s="1" t="e">
        <f t="shared" si="4"/>
        <v>#N/A</v>
      </c>
      <c r="O19" s="1" t="e">
        <f t="shared" si="1"/>
        <v>#N/A</v>
      </c>
      <c r="P19" s="1" t="e">
        <f t="shared" si="2"/>
        <v>#N/A</v>
      </c>
      <c r="Q19" s="1" t="e">
        <f t="shared" si="3"/>
        <v>#N/A</v>
      </c>
      <c r="R19" s="1">
        <v>1250</v>
      </c>
    </row>
    <row r="20" spans="2:18" x14ac:dyDescent="0.3">
      <c r="B20" s="1" t="str">
        <v>Q</v>
      </c>
      <c r="C20" s="1" t="str" cm="1">
        <f t="array" aca="1" ref="C20" ca="1">_xlfn.LET(
   _xlpm.games, _xlfn._xlws.FILTER(CaseList[Name], (LEFT(CaseList[Name]) = B20)*(CaseList[Access]=TRUE)),
   _xlpm.count, IF(ISERROR(ROWS(_xlpm.games)), 0, ROWS(_xlpm.games)),
   _xlpm.random, IF(_xlpm.count = 0, "NONE", INDEX(_xlpm.games, RANDBETWEEN(1, _xlpm.count))),
   _xlpm.random
)</f>
        <v>NONE</v>
      </c>
      <c r="D20" s="1">
        <f ca="1"/>
        <v>0</v>
      </c>
      <c r="F20" s="1">
        <v>0</v>
      </c>
      <c r="N20" s="1" t="e">
        <f t="shared" si="4"/>
        <v>#N/A</v>
      </c>
      <c r="O20" s="1" t="e">
        <f t="shared" si="1"/>
        <v>#N/A</v>
      </c>
      <c r="P20" s="1" t="e">
        <f t="shared" si="2"/>
        <v>#N/A</v>
      </c>
      <c r="Q20" s="1" t="e">
        <f t="shared" si="3"/>
        <v>#N/A</v>
      </c>
      <c r="R20" s="1">
        <v>1250</v>
      </c>
    </row>
    <row r="21" spans="2:18" x14ac:dyDescent="0.3">
      <c r="B21" s="1" t="str">
        <v>R</v>
      </c>
      <c r="C21" s="1" t="str" cm="1">
        <f t="array" aca="1" ref="C21" ca="1">_xlfn.LET(
   _xlpm.games, _xlfn._xlws.FILTER(CaseList[Name], (LEFT(CaseList[Name]) = B21)*(CaseList[Access]=TRUE)),
   _xlpm.count, IF(ISERROR(ROWS(_xlpm.games)), 0, ROWS(_xlpm.games)),
   _xlpm.random, IF(_xlpm.count = 0, "NONE", INDEX(_xlpm.games, RANDBETWEEN(1, _xlpm.count))),
   _xlpm.random
)</f>
        <v>Run Forrest Run</v>
      </c>
      <c r="D21" s="1">
        <f ca="1"/>
        <v>0.4</v>
      </c>
      <c r="F21" s="1">
        <v>0</v>
      </c>
      <c r="N21" s="1" t="e">
        <f t="shared" si="4"/>
        <v>#N/A</v>
      </c>
      <c r="O21" s="1" t="e">
        <f t="shared" si="1"/>
        <v>#N/A</v>
      </c>
      <c r="P21" s="1" t="e">
        <f t="shared" si="2"/>
        <v>#N/A</v>
      </c>
      <c r="Q21" s="1" t="e">
        <f t="shared" si="3"/>
        <v>#N/A</v>
      </c>
      <c r="R21" s="1">
        <v>1250</v>
      </c>
    </row>
    <row r="22" spans="2:18" x14ac:dyDescent="0.3">
      <c r="B22" s="1" t="str">
        <v>S</v>
      </c>
      <c r="C22" s="1" t="str" cm="1">
        <f t="array" aca="1" ref="C22" ca="1">_xlfn.LET(
   _xlpm.games, _xlfn._xlws.FILTER(CaseList[Name], (LEFT(CaseList[Name]) = B22)*(CaseList[Access]=TRUE)),
   _xlpm.count, IF(ISERROR(ROWS(_xlpm.games)), 0, ROWS(_xlpm.games)),
   _xlpm.random, IF(_xlpm.count = 0, "NONE", INDEX(_xlpm.games, RANDBETWEEN(1, _xlpm.count))),
   _xlpm.random
)</f>
        <v>Super Grand Master</v>
      </c>
      <c r="D22" s="1">
        <f ca="1"/>
        <v>0.4</v>
      </c>
      <c r="F22" s="1">
        <v>0</v>
      </c>
      <c r="N22" s="1" t="e">
        <f t="shared" si="4"/>
        <v>#N/A</v>
      </c>
      <c r="O22" s="1" t="e">
        <f t="shared" si="1"/>
        <v>#N/A</v>
      </c>
      <c r="P22" s="1" t="e">
        <f t="shared" si="2"/>
        <v>#N/A</v>
      </c>
      <c r="Q22" s="1" t="e">
        <f t="shared" si="3"/>
        <v>#N/A</v>
      </c>
      <c r="R22" s="1">
        <v>1250</v>
      </c>
    </row>
    <row r="23" spans="2:18" x14ac:dyDescent="0.3">
      <c r="B23" s="1" t="str">
        <v>T</v>
      </c>
      <c r="C23" s="1" t="str" cm="1">
        <f t="array" aca="1" ref="C23" ca="1">_xlfn.LET(
   _xlpm.games, _xlfn._xlws.FILTER(CaseList[Name], (LEFT(CaseList[Name]) = B23)*(CaseList[Access]=TRUE)),
   _xlpm.count, IF(ISERROR(ROWS(_xlpm.games)), 0, ROWS(_xlpm.games)),
   _xlpm.random, IF(_xlpm.count = 0, "NONE", INDEX(_xlpm.games, RANDBETWEEN(1, _xlpm.count))),
   _xlpm.random
)</f>
        <v>Tetris</v>
      </c>
      <c r="D23" s="1">
        <f ca="1"/>
        <v>0.4</v>
      </c>
      <c r="F23" s="1">
        <v>0</v>
      </c>
      <c r="N23" s="1" t="e">
        <f t="shared" si="4"/>
        <v>#N/A</v>
      </c>
      <c r="O23" s="1" t="e">
        <f t="shared" si="1"/>
        <v>#N/A</v>
      </c>
      <c r="P23" s="1" t="e">
        <f t="shared" si="2"/>
        <v>#N/A</v>
      </c>
      <c r="Q23" s="1" t="e">
        <f t="shared" si="3"/>
        <v>#N/A</v>
      </c>
      <c r="R23" s="1">
        <v>1250</v>
      </c>
    </row>
    <row r="24" spans="2:18" x14ac:dyDescent="0.3">
      <c r="B24" s="1" t="str">
        <v>U</v>
      </c>
      <c r="C24" s="1" t="str" cm="1">
        <f t="array" aca="1" ref="C24" ca="1">_xlfn.LET(
   _xlpm.games, _xlfn._xlws.FILTER(CaseList[Name], (LEFT(CaseList[Name]) = B24)*(CaseList[Access]=TRUE)),
   _xlpm.count, IF(ISERROR(ROWS(_xlpm.games)), 0, ROWS(_xlpm.games)),
   _xlpm.random, IF(_xlpm.count = 0, "NONE", INDEX(_xlpm.games, RANDBETWEEN(1, _xlpm.count))),
   _xlpm.random
)</f>
        <v>NONE</v>
      </c>
      <c r="D24" s="1">
        <f ca="1"/>
        <v>0</v>
      </c>
      <c r="F24" s="1">
        <v>0</v>
      </c>
      <c r="N24" s="1" t="e">
        <f t="shared" si="4"/>
        <v>#N/A</v>
      </c>
      <c r="O24" s="1" t="e">
        <f t="shared" si="1"/>
        <v>#N/A</v>
      </c>
      <c r="P24" s="1" t="e">
        <f t="shared" si="2"/>
        <v>#N/A</v>
      </c>
      <c r="Q24" s="1" t="e">
        <f t="shared" si="3"/>
        <v>#N/A</v>
      </c>
      <c r="R24" s="1">
        <v>1250</v>
      </c>
    </row>
    <row r="25" spans="2:18" x14ac:dyDescent="0.3">
      <c r="B25" s="1" t="str">
        <v>V</v>
      </c>
      <c r="C25" s="1" t="str" cm="1">
        <f t="array" aca="1" ref="C25" ca="1">_xlfn.LET(
   _xlpm.games, _xlfn._xlws.FILTER(CaseList[Name], (LEFT(CaseList[Name]) = B25)*(CaseList[Access]=TRUE)),
   _xlpm.count, IF(ISERROR(ROWS(_xlpm.games)), 0, ROWS(_xlpm.games)),
   _xlpm.random, IF(_xlpm.count = 0, "NONE", INDEX(_xlpm.games, RANDBETWEEN(1, _xlpm.count))),
   _xlpm.random
)</f>
        <v>Vlookie-teur</v>
      </c>
      <c r="D25" s="1">
        <f ca="1"/>
        <v>0.6</v>
      </c>
      <c r="F25" s="1">
        <v>0</v>
      </c>
      <c r="N25" s="1" t="e">
        <f t="shared" si="4"/>
        <v>#N/A</v>
      </c>
      <c r="O25" s="1" t="e">
        <f t="shared" si="1"/>
        <v>#N/A</v>
      </c>
      <c r="P25" s="1" t="e">
        <f t="shared" si="2"/>
        <v>#N/A</v>
      </c>
      <c r="Q25" s="1" t="e">
        <f t="shared" si="3"/>
        <v>#N/A</v>
      </c>
      <c r="R25" s="1">
        <v>1250</v>
      </c>
    </row>
    <row r="26" spans="2:18" x14ac:dyDescent="0.3">
      <c r="B26" s="1" t="str">
        <v>W</v>
      </c>
      <c r="C26" s="1" t="str" cm="1">
        <f t="array" aca="1" ref="C26" ca="1">_xlfn.LET(
   _xlpm.games, _xlfn._xlws.FILTER(CaseList[Name], (LEFT(CaseList[Name]) = B26)*(CaseList[Access]=TRUE)),
   _xlpm.count, IF(ISERROR(ROWS(_xlpm.games)), 0, ROWS(_xlpm.games)),
   _xlpm.random, IF(_xlpm.count = 0, "NONE", INDEX(_xlpm.games, RANDBETWEEN(1, _xlpm.count))),
   _xlpm.random
)</f>
        <v>Where's Wally</v>
      </c>
      <c r="D26" s="1">
        <f ca="1"/>
        <v>0.6</v>
      </c>
      <c r="F26" s="1">
        <v>0</v>
      </c>
      <c r="N26" s="1" t="e">
        <f t="shared" si="4"/>
        <v>#N/A</v>
      </c>
      <c r="O26" s="1" t="e">
        <f t="shared" si="1"/>
        <v>#N/A</v>
      </c>
      <c r="P26" s="1" t="e">
        <f t="shared" si="2"/>
        <v>#N/A</v>
      </c>
      <c r="Q26" s="1" t="e">
        <f t="shared" si="3"/>
        <v>#N/A</v>
      </c>
      <c r="R26" s="1">
        <v>1250</v>
      </c>
    </row>
    <row r="27" spans="2:18" x14ac:dyDescent="0.3">
      <c r="B27" s="1" t="str">
        <v>X</v>
      </c>
      <c r="C27" s="1" t="str" cm="1">
        <f t="array" aca="1" ref="C27" ca="1">_xlfn.LET(
   _xlpm.games, _xlfn._xlws.FILTER(CaseList[Name], (LEFT(CaseList[Name]) = B27)*(CaseList[Access]=TRUE)),
   _xlpm.count, IF(ISERROR(ROWS(_xlpm.games)), 0, ROWS(_xlpm.games)),
   _xlpm.random, IF(_xlpm.count = 0, "NONE", INDEX(_xlpm.games, RANDBETWEEN(1, _xlpm.count))),
   _xlpm.random
)</f>
        <v>NONE</v>
      </c>
      <c r="D27" s="1">
        <f ca="1"/>
        <v>0</v>
      </c>
      <c r="F27" s="1">
        <v>0</v>
      </c>
      <c r="N27" s="1" t="e">
        <f t="shared" si="4"/>
        <v>#N/A</v>
      </c>
      <c r="O27" s="1" t="e">
        <f t="shared" si="1"/>
        <v>#N/A</v>
      </c>
      <c r="P27" s="1" t="e">
        <f t="shared" si="2"/>
        <v>#N/A</v>
      </c>
      <c r="Q27" s="1" t="e">
        <f t="shared" si="3"/>
        <v>#N/A</v>
      </c>
      <c r="R27" s="1">
        <v>1250</v>
      </c>
    </row>
    <row r="28" spans="2:18" x14ac:dyDescent="0.3">
      <c r="B28" s="1" t="str">
        <v>Y</v>
      </c>
      <c r="C28" s="1" t="str" cm="1">
        <f t="array" aca="1" ref="C28" ca="1">_xlfn.LET(
   _xlpm.games, _xlfn._xlws.FILTER(CaseList[Name], (LEFT(CaseList[Name]) = B28)*(CaseList[Access]=TRUE)),
   _xlpm.count, IF(ISERROR(ROWS(_xlpm.games)), 0, ROWS(_xlpm.games)),
   _xlpm.random, IF(_xlpm.count = 0, "NONE", INDEX(_xlpm.games, RANDBETWEEN(1, _xlpm.count))),
   _xlpm.random
)</f>
        <v>NONE</v>
      </c>
      <c r="D28" s="1">
        <f ca="1"/>
        <v>0</v>
      </c>
      <c r="F28" s="1">
        <v>0</v>
      </c>
      <c r="N28" s="1" t="e">
        <f t="shared" si="4"/>
        <v>#N/A</v>
      </c>
      <c r="O28" s="1" t="e">
        <f t="shared" si="1"/>
        <v>#N/A</v>
      </c>
      <c r="P28" s="1" t="e">
        <f t="shared" si="2"/>
        <v>#N/A</v>
      </c>
      <c r="Q28" s="1" t="e">
        <f t="shared" si="3"/>
        <v>#N/A</v>
      </c>
      <c r="R28" s="1">
        <v>1250</v>
      </c>
    </row>
    <row r="29" spans="2:18" x14ac:dyDescent="0.3">
      <c r="B29" s="1" t="str">
        <v>Z</v>
      </c>
      <c r="C29" s="1" t="str" cm="1">
        <f t="array" aca="1" ref="C29" ca="1">_xlfn.LET(
   _xlpm.games, _xlfn._xlws.FILTER(CaseList[Name], (LEFT(CaseList[Name]) = B29)*(CaseList[Access]=TRUE)),
   _xlpm.count, IF(ISERROR(ROWS(_xlpm.games)), 0, ROWS(_xlpm.games)),
   _xlpm.random, IF(_xlpm.count = 0, "NONE", INDEX(_xlpm.games, RANDBETWEEN(1, _xlpm.count))),
   _xlpm.random
)</f>
        <v>NONE</v>
      </c>
      <c r="D29" s="1">
        <f ca="1"/>
        <v>0</v>
      </c>
      <c r="F29" s="1">
        <v>0</v>
      </c>
      <c r="N29" s="1" t="e">
        <f t="shared" si="4"/>
        <v>#N/A</v>
      </c>
      <c r="O29" s="1" t="e">
        <f t="shared" si="1"/>
        <v>#N/A</v>
      </c>
      <c r="P29" s="1" t="e">
        <f t="shared" si="2"/>
        <v>#N/A</v>
      </c>
      <c r="Q29" s="1" t="e">
        <f t="shared" si="3"/>
        <v>#N/A</v>
      </c>
      <c r="R29" s="1">
        <v>1250</v>
      </c>
    </row>
  </sheetData>
  <conditionalFormatting sqref="F2">
    <cfRule type="iconSet" priority="4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F4:F29">
    <cfRule type="iconSet" priority="3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D4:D29">
    <cfRule type="iconSet" priority="2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D2">
    <cfRule type="iconSet" priority="1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 xr2:uid="{7DF879FE-4661-4F2E-94BE-6B534CFD936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'A-Z'!N4:Q4</xm:f>
              <xm:sqref>M4</xm:sqref>
            </x14:sparkline>
            <x14:sparkline>
              <xm:f>'A-Z'!N5:Q5</xm:f>
              <xm:sqref>M5</xm:sqref>
            </x14:sparkline>
            <x14:sparkline>
              <xm:f>'A-Z'!N6:Q6</xm:f>
              <xm:sqref>M6</xm:sqref>
            </x14:sparkline>
            <x14:sparkline>
              <xm:f>'A-Z'!N7:Q7</xm:f>
              <xm:sqref>M7</xm:sqref>
            </x14:sparkline>
            <x14:sparkline>
              <xm:f>'A-Z'!N8:Q8</xm:f>
              <xm:sqref>M8</xm:sqref>
            </x14:sparkline>
            <x14:sparkline>
              <xm:f>'A-Z'!N9:Q9</xm:f>
              <xm:sqref>M9</xm:sqref>
            </x14:sparkline>
            <x14:sparkline>
              <xm:f>'A-Z'!N10:Q10</xm:f>
              <xm:sqref>M10</xm:sqref>
            </x14:sparkline>
            <x14:sparkline>
              <xm:f>'A-Z'!N11:Q11</xm:f>
              <xm:sqref>M11</xm:sqref>
            </x14:sparkline>
            <x14:sparkline>
              <xm:f>'A-Z'!N12:Q12</xm:f>
              <xm:sqref>M12</xm:sqref>
            </x14:sparkline>
            <x14:sparkline>
              <xm:f>'A-Z'!N13:Q13</xm:f>
              <xm:sqref>M13</xm:sqref>
            </x14:sparkline>
            <x14:sparkline>
              <xm:f>'A-Z'!N14:Q14</xm:f>
              <xm:sqref>M14</xm:sqref>
            </x14:sparkline>
            <x14:sparkline>
              <xm:f>'A-Z'!N15:Q15</xm:f>
              <xm:sqref>M15</xm:sqref>
            </x14:sparkline>
            <x14:sparkline>
              <xm:f>'A-Z'!N16:Q16</xm:f>
              <xm:sqref>M16</xm:sqref>
            </x14:sparkline>
            <x14:sparkline>
              <xm:f>'A-Z'!N17:Q17</xm:f>
              <xm:sqref>M17</xm:sqref>
            </x14:sparkline>
            <x14:sparkline>
              <xm:f>'A-Z'!N18:Q18</xm:f>
              <xm:sqref>M18</xm:sqref>
            </x14:sparkline>
            <x14:sparkline>
              <xm:f>'A-Z'!N19:Q19</xm:f>
              <xm:sqref>M19</xm:sqref>
            </x14:sparkline>
            <x14:sparkline>
              <xm:f>'A-Z'!N20:Q20</xm:f>
              <xm:sqref>M20</xm:sqref>
            </x14:sparkline>
            <x14:sparkline>
              <xm:f>'A-Z'!N21:Q21</xm:f>
              <xm:sqref>M21</xm:sqref>
            </x14:sparkline>
            <x14:sparkline>
              <xm:f>'A-Z'!N22:Q22</xm:f>
              <xm:sqref>M22</xm:sqref>
            </x14:sparkline>
            <x14:sparkline>
              <xm:f>'A-Z'!N23:Q23</xm:f>
              <xm:sqref>M23</xm:sqref>
            </x14:sparkline>
            <x14:sparkline>
              <xm:f>'A-Z'!N24:Q24</xm:f>
              <xm:sqref>M24</xm:sqref>
            </x14:sparkline>
            <x14:sparkline>
              <xm:f>'A-Z'!N25:Q25</xm:f>
              <xm:sqref>M25</xm:sqref>
            </x14:sparkline>
            <x14:sparkline>
              <xm:f>'A-Z'!N26:Q26</xm:f>
              <xm:sqref>M26</xm:sqref>
            </x14:sparkline>
            <x14:sparkline>
              <xm:f>'A-Z'!N27:Q27</xm:f>
              <xm:sqref>M27</xm:sqref>
            </x14:sparkline>
            <x14:sparkline>
              <xm:f>'A-Z'!N28:Q28</xm:f>
              <xm:sqref>M28</xm:sqref>
            </x14:sparkline>
            <x14:sparkline>
              <xm:f>'A-Z'!N29:Q29</xm:f>
              <xm:sqref>M29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685F1-82F8-4B9D-B705-888BBFE46F0C}">
  <sheetPr codeName="Sheet3"/>
  <dimension ref="B2:J1193"/>
  <sheetViews>
    <sheetView showGridLines="0" zoomScale="70" zoomScaleNormal="70" workbookViewId="0">
      <pane ySplit="4" topLeftCell="A5" activePane="bottomLeft" state="frozen"/>
      <selection activeCell="I13" sqref="I13"/>
      <selection pane="bottomLeft" activeCell="F18" sqref="F18"/>
    </sheetView>
  </sheetViews>
  <sheetFormatPr defaultColWidth="9.23046875" defaultRowHeight="18.75" x14ac:dyDescent="0.3"/>
  <cols>
    <col min="1" max="1" width="1.3046875" style="1" customWidth="1"/>
    <col min="2" max="2" width="9.23046875" style="1"/>
    <col min="3" max="3" width="36" style="1" bestFit="1" customWidth="1"/>
    <col min="4" max="4" width="10.15234375" style="1" bestFit="1" customWidth="1"/>
    <col min="5" max="5" width="13.61328125" style="1" bestFit="1" customWidth="1"/>
    <col min="6" max="6" width="65.69140625" style="1" bestFit="1" customWidth="1"/>
    <col min="7" max="7" width="8.921875" style="8" bestFit="1" customWidth="1"/>
    <col min="8" max="8" width="6.53515625" style="1" customWidth="1"/>
    <col min="9" max="16384" width="9.23046875" style="1"/>
  </cols>
  <sheetData>
    <row r="2" spans="2:10" ht="64.5" thickBot="1" x14ac:dyDescent="1.05">
      <c r="B2" s="7" t="s">
        <v>12</v>
      </c>
      <c r="C2" s="7"/>
      <c r="D2" s="7"/>
      <c r="E2" s="7"/>
      <c r="F2" s="7"/>
      <c r="G2" s="7"/>
      <c r="H2" s="7"/>
      <c r="I2" s="7"/>
      <c r="J2" s="7"/>
    </row>
    <row r="3" spans="2:10" ht="19.5" thickTop="1" x14ac:dyDescent="0.3"/>
    <row r="4" spans="2:10" x14ac:dyDescent="0.3">
      <c r="B4" s="5" t="s">
        <v>13</v>
      </c>
      <c r="C4" s="5" t="s">
        <v>14</v>
      </c>
      <c r="D4" s="5" t="s">
        <v>15</v>
      </c>
      <c r="E4" s="5" t="s">
        <v>16</v>
      </c>
      <c r="F4" s="5" t="s">
        <v>17</v>
      </c>
      <c r="G4" s="9" t="s">
        <v>18</v>
      </c>
      <c r="H4" s="5" t="s">
        <v>19</v>
      </c>
    </row>
    <row r="5" spans="2:10" x14ac:dyDescent="0.3">
      <c r="B5" s="1" cm="1">
        <f t="array" ref="B5:B123">_xlfn.SEQUENCE(ROWS(_xlfn.ANCHORARRAY(C5)))</f>
        <v>1</v>
      </c>
      <c r="C5" s="10" t="str" cm="1">
        <f t="array" ref="C5:H123">_xlfn.LET(_xlpm.commands, _xlfn.VSTACK(A:Z!C8:H10000), _xlpm.colls, _xlfn.CHOOSECOLS(_xlpm.commands, 4), _xlpm.botcommands, _xlfn._xlws.FILTER(_xlfn.CHOOSECOLS(_xlpm.commands, {1,2,4,5,6}), (LEN(_xlpm.colls) &gt; 0) + (_xlpm.colls = "A-ZTraining")), _xlpm.botcommandnames, _xlfn.TAKE(_xlpm.botcommands, , 1), _xlpm.unqcommands, _xlfn.UNIQUE(_xlpm.botcommands), _xlpm.unqcommandnames, _xlfn.TAKE(_xlpm.unqcommands, , 1), _xlpm.unqcounts, --(_xlpm.unqcommandnames = TRANSPOSE(_xlpm.botcommandnames)),
    _xlpm.unqcount,_xlfn.BYROW(_xlpm.unqcounts,_xleta.SUM), _xlpm.unqcollection, _xlfn.CHOOSECOLS(_xlpm.unqcommands, 3), _xlpm.unqcasespecific, --_xlfn.TAKE(_xlpm.unqcommands, , -1), _xlpm.unqshortcut, IF(_xlfn.CHOOSECOLS(_xlpm.unqcommands, 2) = 0, "", _xlfn.CHOOSECOLS(_xlpm.unqcommands, 2)), _xlpm.unqdesc, _xlfn.CHOOSECOLS(_xlpm.unqcommands, 4), _xlpm.unqout, _xlfn.HSTACK(_xlpm.unqcommandnames, _xlpm.unqshortcut, _xlpm.unqcollection, _xlpm.unqdesc, _xlpm.unqcasespecific, _xlpm.unqcount), _xlpm.out, _xlfn.SORTBY(_xlpm.unqout, _xlpm.unqcount, -1, _xlpm.unqcasespecific, 1), _xlpm.out)</f>
        <v>Move Right 1</v>
      </c>
      <c r="D5" s="1" t="str">
        <v/>
      </c>
      <c r="E5" s="1" t="str">
        <v>A-ZTraining</v>
      </c>
      <c r="F5" s="1" t="str">
        <v>Navigation only - moves a cell to the right</v>
      </c>
      <c r="G5" s="11">
        <v>0</v>
      </c>
      <c r="H5" s="1">
        <v>14</v>
      </c>
    </row>
    <row r="6" spans="2:10" x14ac:dyDescent="0.3">
      <c r="B6" s="1">
        <v>2</v>
      </c>
      <c r="C6" s="1" t="str">
        <v>Move Down 1</v>
      </c>
      <c r="D6" s="1" t="str">
        <v/>
      </c>
      <c r="E6" s="1" t="str">
        <v>A-ZTraining</v>
      </c>
      <c r="F6" s="1" t="str">
        <v>Moves down 1 cell</v>
      </c>
      <c r="G6" s="11">
        <v>0</v>
      </c>
      <c r="H6" s="1">
        <v>12</v>
      </c>
    </row>
    <row r="7" spans="2:10" x14ac:dyDescent="0.3">
      <c r="B7" s="1">
        <v>3</v>
      </c>
      <c r="C7" s="1" t="str">
        <v>Select First Input</v>
      </c>
      <c r="D7" s="1" t="str">
        <v>FI</v>
      </c>
      <c r="E7" s="1" t="str">
        <v>A-ZTraining</v>
      </c>
      <c r="F7" s="1" t="str">
        <v>Selects column of inputs 2 columns to the right of Answer column</v>
      </c>
      <c r="G7" s="11">
        <v>0</v>
      </c>
      <c r="H7" s="1">
        <v>8</v>
      </c>
    </row>
    <row r="8" spans="2:10" x14ac:dyDescent="0.3">
      <c r="B8" s="1">
        <v>4</v>
      </c>
      <c r="C8" s="1" t="str">
        <v>Exclude Examples</v>
      </c>
      <c r="D8" s="1" t="str">
        <v>XE</v>
      </c>
      <c r="E8" s="1" t="str">
        <v>A-ZTraining</v>
      </c>
      <c r="F8" s="1" t="str">
        <v>Excludes the top two rows from selection</v>
      </c>
      <c r="G8" s="11">
        <v>0</v>
      </c>
      <c r="H8" s="1">
        <v>8</v>
      </c>
    </row>
    <row r="9" spans="2:10" x14ac:dyDescent="0.3">
      <c r="B9" s="1">
        <v>5</v>
      </c>
      <c r="C9" s="1" t="str">
        <v>Address Lookup from Parameter Range Name</v>
      </c>
      <c r="D9" s="1" t="str">
        <v/>
      </c>
      <c r="E9" s="1" t="str">
        <v>A-ZTraining</v>
      </c>
      <c r="F9" s="1" t="str">
        <v>Does a lookup from a range with header codes</v>
      </c>
      <c r="G9" s="11">
        <v>0</v>
      </c>
      <c r="H9" s="1">
        <v>8</v>
      </c>
    </row>
    <row r="10" spans="2:10" x14ac:dyDescent="0.3">
      <c r="B10" s="1">
        <v>6</v>
      </c>
      <c r="C10" s="1" t="str">
        <v>Copy To Clipboard</v>
      </c>
      <c r="D10" s="1" t="str">
        <v>C</v>
      </c>
      <c r="E10" s="1" t="str">
        <v>A-ZTraining</v>
      </c>
      <c r="F10" s="1" t="str">
        <v>Copies selection</v>
      </c>
      <c r="G10" s="11">
        <v>0</v>
      </c>
      <c r="H10" s="1">
        <v>7</v>
      </c>
    </row>
    <row r="11" spans="2:10" x14ac:dyDescent="0.3">
      <c r="B11" s="1">
        <v>7</v>
      </c>
      <c r="C11" s="1" t="str">
        <v>Move Left 1</v>
      </c>
      <c r="D11" s="1" t="str">
        <v/>
      </c>
      <c r="E11" s="1" t="str">
        <v>A-ZTraining</v>
      </c>
      <c r="F11" s="1" t="str">
        <v>Navigation only - moves a cell to the left</v>
      </c>
      <c r="G11" s="11">
        <v>0</v>
      </c>
      <c r="H11" s="1">
        <v>6</v>
      </c>
    </row>
    <row r="12" spans="2:10" x14ac:dyDescent="0.3">
      <c r="B12" s="1">
        <v>8</v>
      </c>
      <c r="C12" s="1" t="str">
        <v>Duplicate Array To Below</v>
      </c>
      <c r="D12" s="1" t="str">
        <v>DA</v>
      </c>
      <c r="E12" s="1" t="str">
        <v>Array Robot</v>
      </c>
      <c r="F12" s="1" t="str">
        <v>Duplicates array below</v>
      </c>
      <c r="G12" s="11">
        <v>0</v>
      </c>
      <c r="H12" s="1">
        <v>6</v>
      </c>
    </row>
    <row r="13" spans="2:10" x14ac:dyDescent="0.3">
      <c r="B13" s="1">
        <v>9</v>
      </c>
      <c r="C13" s="1" t="str">
        <v>Paste As References</v>
      </c>
      <c r="D13" s="1" t="str">
        <v>PR</v>
      </c>
      <c r="E13" s="1" t="str">
        <v>Formula Robot</v>
      </c>
      <c r="F13" s="1" t="str">
        <v>Pastes copied cells into selected cell as linked references</v>
      </c>
      <c r="G13" s="11">
        <v>0</v>
      </c>
      <c r="H13" s="1">
        <v>6</v>
      </c>
    </row>
    <row r="14" spans="2:10" x14ac:dyDescent="0.3">
      <c r="B14" s="1">
        <v>10</v>
      </c>
      <c r="C14" s="1" t="str">
        <v>If Error Then Zero (0)</v>
      </c>
      <c r="D14" s="1" t="str">
        <v>E0</v>
      </c>
      <c r="E14" s="1" t="str">
        <v>Array Robot</v>
      </c>
      <c r="F14" s="1" t="str">
        <v>Replaces errors with a 0</v>
      </c>
      <c r="G14" s="11">
        <v>0</v>
      </c>
      <c r="H14" s="1">
        <v>5</v>
      </c>
    </row>
    <row r="15" spans="2:10" x14ac:dyDescent="0.3">
      <c r="B15" s="1">
        <v>11</v>
      </c>
      <c r="C15" s="1" t="str">
        <v>Save Game Answer To Left</v>
      </c>
      <c r="D15" s="1" t="str">
        <v>Ctrl-Shift-S</v>
      </c>
      <c r="E15" s="1" t="str">
        <v>MEWC Robot</v>
      </c>
      <c r="F15" s="1" t="str">
        <v>Saves selection to answers cells</v>
      </c>
      <c r="G15" s="11">
        <v>0</v>
      </c>
      <c r="H15" s="1">
        <v>5</v>
      </c>
    </row>
    <row r="16" spans="2:10" x14ac:dyDescent="0.3">
      <c r="B16" s="1">
        <v>12</v>
      </c>
      <c r="C16" s="1" t="str">
        <v>Round to 0</v>
      </c>
      <c r="D16" s="1" t="str">
        <v>R0</v>
      </c>
      <c r="E16" s="1" t="str">
        <v>CompBot</v>
      </c>
      <c r="F16" s="1" t="str">
        <v>Round to 0 decimal places</v>
      </c>
      <c r="G16" s="11">
        <v>0</v>
      </c>
      <c r="H16" s="1">
        <v>5</v>
      </c>
    </row>
    <row r="17" spans="2:8" x14ac:dyDescent="0.3">
      <c r="B17" s="1">
        <v>13</v>
      </c>
      <c r="C17" s="1" t="str">
        <v>Sum Array</v>
      </c>
      <c r="D17" s="1" t="str">
        <v>SUM</v>
      </c>
      <c r="E17" s="1" t="str">
        <v>Array Robot</v>
      </c>
      <c r="F17" s="1" t="str">
        <v>Sums Array</v>
      </c>
      <c r="G17" s="11">
        <v>0</v>
      </c>
      <c r="H17" s="1">
        <v>5</v>
      </c>
    </row>
    <row r="18" spans="2:8" x14ac:dyDescent="0.3">
      <c r="B18" s="1">
        <v>14</v>
      </c>
      <c r="C18" s="1" t="str">
        <v>Duplicate Array to Right</v>
      </c>
      <c r="D18" s="1" t="str">
        <v>Ctrl-Shift-R</v>
      </c>
      <c r="E18" s="1" t="str">
        <v>Array Robot</v>
      </c>
      <c r="F18" s="1" t="str">
        <v>Copies current array to the right</v>
      </c>
      <c r="G18" s="11">
        <v>0</v>
      </c>
      <c r="H18" s="1">
        <v>4</v>
      </c>
    </row>
    <row r="19" spans="2:8" x14ac:dyDescent="0.3">
      <c r="B19" s="1">
        <v>15</v>
      </c>
      <c r="C19" s="1" t="str">
        <v>Duplicate Formula to Right</v>
      </c>
      <c r="D19" s="1" t="str">
        <v>DFR</v>
      </c>
      <c r="E19" s="1" t="str">
        <v>A-ZTraining</v>
      </c>
      <c r="F19" s="1" t="str">
        <v>Copies formula in current cell to the right as exact formula (arrays only)</v>
      </c>
      <c r="G19" s="11">
        <v>0</v>
      </c>
      <c r="H19" s="1">
        <v>4</v>
      </c>
    </row>
    <row r="20" spans="2:8" x14ac:dyDescent="0.3">
      <c r="B20" s="1">
        <v>16</v>
      </c>
      <c r="C20" s="1" t="str">
        <v>Select Spill Range</v>
      </c>
      <c r="D20" s="1" t="str">
        <v>SS</v>
      </c>
      <c r="E20" s="1" t="str">
        <v>A-ZTraining</v>
      </c>
      <c r="F20" s="1" t="str">
        <v>Selects spill range</v>
      </c>
      <c r="G20" s="11">
        <v>0</v>
      </c>
      <c r="H20" s="1">
        <v>4</v>
      </c>
    </row>
    <row r="21" spans="2:8" x14ac:dyDescent="0.3">
      <c r="B21" s="1">
        <v>17</v>
      </c>
      <c r="C21" s="1" t="str">
        <v>Select Next Column</v>
      </c>
      <c r="D21" s="1" t="str">
        <v>SNC</v>
      </c>
      <c r="E21" s="1" t="str">
        <v>A-ZTraining</v>
      </c>
      <c r="F21" s="1" t="str">
        <v>Selects next column across</v>
      </c>
      <c r="G21" s="11">
        <v>0</v>
      </c>
      <c r="H21" s="1">
        <v>4</v>
      </c>
    </row>
    <row r="22" spans="2:8" x14ac:dyDescent="0.3">
      <c r="B22" s="1">
        <v>18</v>
      </c>
      <c r="C22" s="1" t="str">
        <v>Duplicate Formula to Right</v>
      </c>
      <c r="D22" s="1" t="str">
        <v>DFR</v>
      </c>
      <c r="E22" s="1" t="str">
        <v>A-ZTraining</v>
      </c>
      <c r="F22" s="1" t="str">
        <v>Copies current cell values to the right</v>
      </c>
      <c r="G22" s="11">
        <v>0</v>
      </c>
      <c r="H22" s="1">
        <v>4</v>
      </c>
    </row>
    <row r="23" spans="2:8" x14ac:dyDescent="0.3">
      <c r="B23" s="1">
        <v>19</v>
      </c>
      <c r="C23" s="1" t="str">
        <v>Split Text By Semicolon</v>
      </c>
      <c r="D23" s="1" t="str">
        <v>S;</v>
      </c>
      <c r="E23" s="1" t="str">
        <v>A-ZTraining</v>
      </c>
      <c r="F23" s="1" t="str">
        <v>Splits text into columns by semicolon</v>
      </c>
      <c r="G23" s="11">
        <v>0</v>
      </c>
      <c r="H23" s="1">
        <v>4</v>
      </c>
    </row>
    <row r="24" spans="2:8" x14ac:dyDescent="0.3">
      <c r="B24" s="1">
        <v>20</v>
      </c>
      <c r="C24" s="1" t="str">
        <v>Duplicate Formula To Right</v>
      </c>
      <c r="D24" s="1" t="str">
        <v>DF</v>
      </c>
      <c r="E24" s="1" t="str">
        <v>Array Robot</v>
      </c>
      <c r="F24" s="1" t="str">
        <v>Copies current array to the right</v>
      </c>
      <c r="G24" s="11">
        <v>0</v>
      </c>
      <c r="H24" s="1">
        <v>4</v>
      </c>
    </row>
    <row r="25" spans="2:8" x14ac:dyDescent="0.3">
      <c r="B25" s="1">
        <v>21</v>
      </c>
      <c r="C25" s="1" t="str">
        <v>Multiply By 60</v>
      </c>
      <c r="D25" s="1" t="str">
        <v>M60</v>
      </c>
      <c r="E25" s="1" t="str">
        <v>A-ZTraining</v>
      </c>
      <c r="F25" s="1" t="str">
        <v>Multiplies value by 60</v>
      </c>
      <c r="G25" s="11">
        <v>0</v>
      </c>
      <c r="H25" s="1">
        <v>4</v>
      </c>
    </row>
    <row r="26" spans="2:8" x14ac:dyDescent="0.3">
      <c r="B26" s="1">
        <v>22</v>
      </c>
      <c r="C26" s="1" t="str">
        <v>Add Link To Right</v>
      </c>
      <c r="D26" s="1" t="str">
        <v>CR</v>
      </c>
      <c r="E26" s="1" t="str">
        <v>A-ZTraining</v>
      </c>
      <c r="F26" s="1" t="str">
        <v>Adds link to the right to the current cell</v>
      </c>
      <c r="G26" s="11">
        <v>0</v>
      </c>
      <c r="H26" s="1">
        <v>4</v>
      </c>
    </row>
    <row r="27" spans="2:8" x14ac:dyDescent="0.3">
      <c r="B27" s="1">
        <v>23</v>
      </c>
      <c r="C27" s="1" t="str">
        <v>Get Array 4 Up</v>
      </c>
      <c r="D27" s="1" t="str">
        <v/>
      </c>
      <c r="E27" s="1" t="str">
        <v>A-ZTraining</v>
      </c>
      <c r="F27" s="1" t="str">
        <v>Gets the array which spills into the cell 4 directly up from the active cell</v>
      </c>
      <c r="G27" s="11">
        <v>0</v>
      </c>
      <c r="H27" s="1">
        <v>4</v>
      </c>
    </row>
    <row r="28" spans="2:8" x14ac:dyDescent="0.3">
      <c r="B28" s="1">
        <v>24</v>
      </c>
      <c r="C28" s="1" t="str">
        <v>Add Link To Right</v>
      </c>
      <c r="D28" s="1" t="str">
        <v>CR</v>
      </c>
      <c r="E28" s="1" t="str">
        <v>A-ZTraining</v>
      </c>
      <c r="F28" s="1" t="str">
        <v>Adds a link to the current cell to the right</v>
      </c>
      <c r="G28" s="11">
        <v>0</v>
      </c>
      <c r="H28" s="1">
        <v>4</v>
      </c>
    </row>
    <row r="29" spans="2:8" x14ac:dyDescent="0.3">
      <c r="B29" s="1">
        <v>25</v>
      </c>
      <c r="C29" s="1" t="str">
        <v>Multiply By 60</v>
      </c>
      <c r="D29" s="1" t="str">
        <v>M60</v>
      </c>
      <c r="E29" s="1" t="str">
        <v>A-ZTraining</v>
      </c>
      <c r="F29" s="1" t="str">
        <v>Multiplies value by 60</v>
      </c>
      <c r="G29" s="11">
        <v>1</v>
      </c>
      <c r="H29" s="1">
        <v>4</v>
      </c>
    </row>
    <row r="30" spans="2:8" x14ac:dyDescent="0.3">
      <c r="B30" s="1">
        <v>26</v>
      </c>
      <c r="C30" s="1" t="str">
        <v>B - Address Lookup from TerrainMap</v>
      </c>
      <c r="D30" s="1" t="str">
        <v/>
      </c>
      <c r="E30" s="1" t="str">
        <v>A-ZTraining</v>
      </c>
      <c r="F30" s="1" t="str">
        <v>Does a lookup from TerrMapWHdr range with header codes</v>
      </c>
      <c r="G30" s="11">
        <v>1</v>
      </c>
      <c r="H30" s="1">
        <v>4</v>
      </c>
    </row>
    <row r="31" spans="2:8" x14ac:dyDescent="0.3">
      <c r="B31" s="1">
        <v>27</v>
      </c>
      <c r="C31" s="1" t="str">
        <v>Remove Blank Rows and Columns</v>
      </c>
      <c r="D31" s="1" t="str">
        <v>RB</v>
      </c>
      <c r="E31" s="1" t="str">
        <v>Array Robot</v>
      </c>
      <c r="F31" s="1" t="str">
        <v>Removes the rows and columns that are blank or all zeroes</v>
      </c>
      <c r="G31" s="11">
        <v>0</v>
      </c>
      <c r="H31" s="1">
        <v>3</v>
      </c>
    </row>
    <row r="32" spans="2:8" x14ac:dyDescent="0.3">
      <c r="B32" s="1">
        <v>28</v>
      </c>
      <c r="C32" s="1" t="str">
        <v>Get Array 2 Up</v>
      </c>
      <c r="D32" s="1" t="str">
        <v>A2U</v>
      </c>
      <c r="E32" s="1" t="str">
        <v>A-ZTraining</v>
      </c>
      <c r="F32" s="1" t="str">
        <v>Gets the array which spills into the cell 2 directly up from the active cell</v>
      </c>
      <c r="G32" s="11">
        <v>0</v>
      </c>
      <c r="H32" s="1">
        <v>3</v>
      </c>
    </row>
    <row r="33" spans="2:8" x14ac:dyDescent="0.3">
      <c r="B33" s="1">
        <v>29</v>
      </c>
      <c r="C33" s="1" t="str">
        <v>Reshape to One (1) Column</v>
      </c>
      <c r="D33" s="1" t="str">
        <v>1C</v>
      </c>
      <c r="E33" s="1" t="str">
        <v>Array Robot</v>
      </c>
      <c r="F33" s="1" t="str">
        <v>Applies a TOCOL</v>
      </c>
      <c r="G33" s="11">
        <v>0</v>
      </c>
      <c r="H33" s="1">
        <v>3</v>
      </c>
    </row>
    <row r="34" spans="2:8" x14ac:dyDescent="0.3">
      <c r="B34" s="1">
        <v>30</v>
      </c>
      <c r="C34" s="1" t="str">
        <v>Multiply Array by Left Most Array</v>
      </c>
      <c r="D34" s="1" t="str">
        <v>MAL</v>
      </c>
      <c r="E34" s="1" t="str">
        <v>A-ZTraining</v>
      </c>
      <c r="F34" s="1" t="str">
        <v>Multiplies the current array with the left most array in the current cell region</v>
      </c>
      <c r="G34" s="11">
        <v>0</v>
      </c>
      <c r="H34" s="1">
        <v>3</v>
      </c>
    </row>
    <row r="35" spans="2:8" x14ac:dyDescent="0.3">
      <c r="B35" s="1">
        <v>31</v>
      </c>
      <c r="C35" s="1" t="str">
        <v>XMATCH with Array 2 Rows Up</v>
      </c>
      <c r="D35" s="1" t="str">
        <v>M2U</v>
      </c>
      <c r="E35" s="1" t="str">
        <v>A-ZTraining</v>
      </c>
      <c r="F35" s="1" t="str">
        <v>Finds XMATCH of values in current array with array 2 cells up (can be the spilled range)</v>
      </c>
      <c r="G35" s="11">
        <v>0</v>
      </c>
      <c r="H35" s="1">
        <v>3</v>
      </c>
    </row>
    <row r="36" spans="2:8" x14ac:dyDescent="0.3">
      <c r="B36" s="1">
        <v>32</v>
      </c>
      <c r="C36" s="1" t="str">
        <v>Link Answer Cell</v>
      </c>
      <c r="D36" s="1" t="str">
        <v>ANS</v>
      </c>
      <c r="E36" s="1" t="str">
        <v>A-ZTraining</v>
      </c>
      <c r="F36" s="1" t="str">
        <v>Links the data table ANSWER cell to the currently selected cell</v>
      </c>
      <c r="G36" s="11">
        <v>0</v>
      </c>
      <c r="H36" s="1">
        <v>3</v>
      </c>
    </row>
    <row r="37" spans="2:8" x14ac:dyDescent="0.3">
      <c r="B37" s="1">
        <v>33</v>
      </c>
      <c r="C37" s="1" t="str">
        <v>Select Input Pre1 And Remove</v>
      </c>
      <c r="D37" s="1" t="str">
        <v>R-1</v>
      </c>
      <c r="E37" s="1" t="str">
        <v>A-ZTraining</v>
      </c>
      <c r="F37" s="1" t="str">
        <v>Removes an inputted string from the second last column of the inputs for a level</v>
      </c>
      <c r="G37" s="11">
        <v>0</v>
      </c>
      <c r="H37" s="1">
        <v>3</v>
      </c>
    </row>
    <row r="38" spans="2:8" x14ac:dyDescent="0.3">
      <c r="B38" s="1">
        <v>34</v>
      </c>
      <c r="C38" s="1" t="str">
        <v>Invert Array</v>
      </c>
      <c r="D38" s="1" t="str">
        <v>INV</v>
      </c>
      <c r="E38" s="1" t="str">
        <v>A-ZTraining</v>
      </c>
      <c r="F38" s="1" t="str">
        <v>Inverts all values in an array</v>
      </c>
      <c r="G38" s="11">
        <v>0</v>
      </c>
      <c r="H38" s="1">
        <v>3</v>
      </c>
    </row>
    <row r="39" spans="2:8" x14ac:dyDescent="0.3">
      <c r="B39" s="1">
        <v>35</v>
      </c>
      <c r="C39" s="1" t="str">
        <v>Divide by 2</v>
      </c>
      <c r="D39" s="1" t="str">
        <v>D2</v>
      </c>
      <c r="E39" s="1" t="str">
        <v>A-ZTraining</v>
      </c>
      <c r="F39" s="1" t="str">
        <v>Divides by 2</v>
      </c>
      <c r="G39" s="11">
        <v>0</v>
      </c>
      <c r="H39" s="1">
        <v>3</v>
      </c>
    </row>
    <row r="40" spans="2:8" x14ac:dyDescent="0.3">
      <c r="B40" s="1">
        <v>36</v>
      </c>
      <c r="C40" s="1" t="str">
        <v>Go To Bonus 4</v>
      </c>
      <c r="D40" s="1" t="str">
        <v>B4</v>
      </c>
      <c r="E40" s="1" t="str">
        <v>A-ZTraining</v>
      </c>
      <c r="F40" s="1" t="str">
        <v>Goes to bonus question 4</v>
      </c>
      <c r="G40" s="11">
        <v>0</v>
      </c>
      <c r="H40" s="1">
        <v>3</v>
      </c>
    </row>
    <row r="41" spans="2:8" x14ac:dyDescent="0.3">
      <c r="B41" s="1">
        <v>37</v>
      </c>
      <c r="C41" s="1" t="str">
        <v>Max of Array</v>
      </c>
      <c r="D41" s="1" t="str">
        <v>MAX</v>
      </c>
      <c r="E41" s="1" t="str">
        <v>Array Robot</v>
      </c>
      <c r="F41" s="1" t="str">
        <v>Returns the maximum value of the array</v>
      </c>
      <c r="G41" s="11">
        <v>0</v>
      </c>
      <c r="H41" s="1">
        <v>2</v>
      </c>
    </row>
    <row r="42" spans="2:8" x14ac:dyDescent="0.3">
      <c r="B42" s="1">
        <v>38</v>
      </c>
      <c r="C42" s="1" t="str">
        <v>XLOOKUP Value in Arrays to Left</v>
      </c>
      <c r="D42" s="1" t="str">
        <v>LL</v>
      </c>
      <c r="E42" s="1" t="str">
        <v>A-ZTraining</v>
      </c>
      <c r="F42" s="1" t="str">
        <v>Looks up current cell value in array 1 cell to the left, returning values from array 2 cells to the left</v>
      </c>
      <c r="G42" s="11">
        <v>0</v>
      </c>
      <c r="H42" s="1">
        <v>2</v>
      </c>
    </row>
    <row r="43" spans="2:8" x14ac:dyDescent="0.3">
      <c r="B43" s="1">
        <v>39</v>
      </c>
      <c r="C43" s="1" t="str">
        <v>Make Array To Right</v>
      </c>
      <c r="D43" s="1" t="str">
        <v>MAR</v>
      </c>
      <c r="E43" s="1" t="str">
        <v>A-ZTraining</v>
      </c>
      <c r="F43" s="1" t="str">
        <v>Creates an array pointed at the active selection range</v>
      </c>
      <c r="G43" s="11">
        <v>0</v>
      </c>
      <c r="H43" s="1">
        <v>2</v>
      </c>
    </row>
    <row r="44" spans="2:8" x14ac:dyDescent="0.3">
      <c r="B44" s="1">
        <v>40</v>
      </c>
      <c r="C44" s="1" t="str">
        <v>Lookup from Column 2</v>
      </c>
      <c r="D44" s="1" t="str">
        <v>LK2</v>
      </c>
      <c r="E44" s="1" t="str">
        <v>A-ZTraining</v>
      </c>
      <c r="F44" s="1" t="str">
        <v>Looks up current values, returning the 2nd column of the active range for an inputted named range</v>
      </c>
      <c r="G44" s="11">
        <v>0</v>
      </c>
      <c r="H44" s="1">
        <v>2</v>
      </c>
    </row>
    <row r="45" spans="2:8" x14ac:dyDescent="0.3">
      <c r="B45" s="1">
        <v>41</v>
      </c>
      <c r="C45" s="1" t="str">
        <v>Make Array 2 To Right</v>
      </c>
      <c r="D45" s="1" t="str">
        <v>MA2R</v>
      </c>
      <c r="E45" s="1" t="str">
        <v>A-ZTraining</v>
      </c>
      <c r="F45" s="1" t="str">
        <v>Creates an array pointed at the active selection range 2 cells to the right</v>
      </c>
      <c r="G45" s="11">
        <v>0</v>
      </c>
      <c r="H45" s="1">
        <v>2</v>
      </c>
    </row>
    <row r="46" spans="2:8" x14ac:dyDescent="0.3">
      <c r="B46" s="1">
        <v>42</v>
      </c>
      <c r="C46" s="1" t="str">
        <v>Make Array 3 To Right</v>
      </c>
      <c r="D46" s="1" t="str">
        <v>MA3R</v>
      </c>
      <c r="E46" s="1" t="str">
        <v>A-ZTraining</v>
      </c>
      <c r="F46" s="1" t="str">
        <v>Creates an array pointed at the active selection range 3 cells to the right</v>
      </c>
      <c r="G46" s="11">
        <v>0</v>
      </c>
      <c r="H46" s="1">
        <v>2</v>
      </c>
    </row>
    <row r="47" spans="2:8" x14ac:dyDescent="0.3">
      <c r="B47" s="1">
        <v>43</v>
      </c>
      <c r="C47" s="1" t="str">
        <v>Divide Array by Array to Left</v>
      </c>
      <c r="D47" s="1" t="str">
        <v>DAL</v>
      </c>
      <c r="E47" s="1" t="str">
        <v>A-ZTraining</v>
      </c>
      <c r="F47" s="1" t="str">
        <v>Divides the selected range by the range one column to the left</v>
      </c>
      <c r="G47" s="11">
        <v>0</v>
      </c>
      <c r="H47" s="1">
        <v>2</v>
      </c>
    </row>
    <row r="48" spans="2:8" x14ac:dyDescent="0.3">
      <c r="B48" s="1">
        <v>44</v>
      </c>
      <c r="C48" s="1" t="str">
        <v>Go To Level 4</v>
      </c>
      <c r="D48" s="1" t="str">
        <v>L4</v>
      </c>
      <c r="E48" s="1" t="str">
        <v>A-ZTraining</v>
      </c>
      <c r="F48" s="1" t="str">
        <v>Goes to level 4</v>
      </c>
      <c r="G48" s="11">
        <v>0</v>
      </c>
      <c r="H48" s="1">
        <v>2</v>
      </c>
    </row>
    <row r="49" spans="2:8" x14ac:dyDescent="0.3">
      <c r="B49" s="1">
        <v>45</v>
      </c>
      <c r="C49" s="1" t="str">
        <v>Select Last Input</v>
      </c>
      <c r="D49" s="1" t="str">
        <v>LI</v>
      </c>
      <c r="E49" s="1" t="str">
        <v>A-ZTraining</v>
      </c>
      <c r="F49" s="1" t="str">
        <v>Selects last input column</v>
      </c>
      <c r="G49" s="11">
        <v>0</v>
      </c>
      <c r="H49" s="1">
        <v>2</v>
      </c>
    </row>
    <row r="50" spans="2:8" x14ac:dyDescent="0.3">
      <c r="B50" s="1">
        <v>46</v>
      </c>
      <c r="C50" s="1" t="str">
        <v>Go To Level 5</v>
      </c>
      <c r="D50" s="1" t="str">
        <v>L5</v>
      </c>
      <c r="E50" s="1" t="str">
        <v>A-ZTraining</v>
      </c>
      <c r="F50" s="1" t="str">
        <v>Goes to level 5</v>
      </c>
      <c r="G50" s="11">
        <v>0</v>
      </c>
      <c r="H50" s="1">
        <v>2</v>
      </c>
    </row>
    <row r="51" spans="2:8" x14ac:dyDescent="0.3">
      <c r="B51" s="1">
        <v>47</v>
      </c>
      <c r="C51" s="1" t="str">
        <v>Create Data Table</v>
      </c>
      <c r="D51" s="1" t="str">
        <v>CDT</v>
      </c>
      <c r="E51" s="1" t="str">
        <v>CompBot</v>
      </c>
      <c r="F51" s="1" t="str">
        <v>Creates a data table for the currently selected level</v>
      </c>
      <c r="G51" s="11">
        <v>0</v>
      </c>
      <c r="H51" s="1">
        <v>2</v>
      </c>
    </row>
    <row r="52" spans="2:8" x14ac:dyDescent="0.3">
      <c r="B52" s="1">
        <v>48</v>
      </c>
      <c r="C52" s="1" t="str">
        <v>Scroll To Selection</v>
      </c>
      <c r="D52" s="1" t="str">
        <v>SS</v>
      </c>
      <c r="E52" s="1" t="str">
        <v>A-ZTraining</v>
      </c>
      <c r="F52" s="1" t="str">
        <v>Goes to selection in window</v>
      </c>
      <c r="G52" s="11">
        <v>0</v>
      </c>
      <c r="H52" s="1">
        <v>2</v>
      </c>
    </row>
    <row r="53" spans="2:8" x14ac:dyDescent="0.3">
      <c r="B53" s="1">
        <v>49</v>
      </c>
      <c r="C53" s="1" t="str">
        <v>Count Unique Values In Array</v>
      </c>
      <c r="D53" s="1" t="str">
        <v>CU</v>
      </c>
      <c r="E53" s="1" t="str">
        <v>Array Robot</v>
      </c>
      <c r="F53" s="1" t="str">
        <v>Applies a COUNTEACHUNIQUEVALUE lambda to the array</v>
      </c>
      <c r="G53" s="11">
        <v>0</v>
      </c>
      <c r="H53" s="1">
        <v>2</v>
      </c>
    </row>
    <row r="54" spans="2:8" x14ac:dyDescent="0.3">
      <c r="B54" s="1">
        <v>50</v>
      </c>
      <c r="C54" s="1" t="str">
        <v>Get Array 3 Up</v>
      </c>
      <c r="D54" s="1" t="str">
        <v>A3U</v>
      </c>
      <c r="E54" s="1" t="str">
        <v>A-ZTraining</v>
      </c>
      <c r="F54" s="1" t="str">
        <v>Gets the array which spills into the cell 3 directly up from the active cell</v>
      </c>
      <c r="G54" s="11">
        <v>0</v>
      </c>
      <c r="H54" s="1">
        <v>2</v>
      </c>
    </row>
    <row r="55" spans="2:8" x14ac:dyDescent="0.3">
      <c r="B55" s="1">
        <v>51</v>
      </c>
      <c r="C55" s="1" t="str">
        <v>Get Movement</v>
      </c>
      <c r="D55" s="1" t="str">
        <v>M</v>
      </c>
      <c r="E55" s="1" t="str">
        <v>A-ZTraining</v>
      </c>
      <c r="F55" s="1" t="str">
        <v>Applies Movement lambda to active cell</v>
      </c>
      <c r="G55" s="11">
        <v>0</v>
      </c>
      <c r="H55" s="1">
        <v>2</v>
      </c>
    </row>
    <row r="56" spans="2:8" x14ac:dyDescent="0.3">
      <c r="B56" s="1">
        <v>52</v>
      </c>
      <c r="C56" s="1" t="str">
        <v>Multiply Array by Array Above</v>
      </c>
      <c r="D56" s="1" t="str">
        <v>MAA</v>
      </c>
      <c r="E56" s="1" t="str">
        <v>A-ZTraining</v>
      </c>
      <c r="F56" s="1" t="str">
        <v>Multiplies the current array with the array directly above</v>
      </c>
      <c r="G56" s="11">
        <v>0</v>
      </c>
      <c r="H56" s="1">
        <v>2</v>
      </c>
    </row>
    <row r="57" spans="2:8" x14ac:dyDescent="0.3">
      <c r="B57" s="1">
        <v>53</v>
      </c>
      <c r="C57" s="1" t="str">
        <v>Multiply Array by Value 5 Cells Up</v>
      </c>
      <c r="D57" s="1" t="str">
        <v>MA5U</v>
      </c>
      <c r="E57" s="1" t="str">
        <v>A-ZTraining</v>
      </c>
      <c r="F57" s="1" t="str">
        <v>Multiplies the current array with the value 5 cells above</v>
      </c>
      <c r="G57" s="11">
        <v>0</v>
      </c>
      <c r="H57" s="1">
        <v>2</v>
      </c>
    </row>
    <row r="58" spans="2:8" x14ac:dyDescent="0.3">
      <c r="B58" s="1">
        <v>54</v>
      </c>
      <c r="C58" s="1" t="str">
        <v>Add Array to Array 2 Cells Above</v>
      </c>
      <c r="D58" s="1" t="str">
        <v>AA2U</v>
      </c>
      <c r="E58" s="1" t="str">
        <v>A-ZTraining</v>
      </c>
      <c r="F58" s="1" t="str">
        <v>Adds the current array to the one 2 cells up</v>
      </c>
      <c r="G58" s="11">
        <v>0</v>
      </c>
      <c r="H58" s="1">
        <v>2</v>
      </c>
    </row>
    <row r="59" spans="2:8" x14ac:dyDescent="0.3">
      <c r="B59" s="1">
        <v>55</v>
      </c>
      <c r="C59" s="1" t="str">
        <v>Select First Answer Cell</v>
      </c>
      <c r="D59" s="1" t="str">
        <v>SFA</v>
      </c>
      <c r="E59" s="1" t="str">
        <v>A-ZTraining</v>
      </c>
      <c r="F59" s="1" t="str">
        <v>Goes to the first answer cell for the current level</v>
      </c>
      <c r="G59" s="11">
        <v>0</v>
      </c>
      <c r="H59" s="1">
        <v>2</v>
      </c>
    </row>
    <row r="60" spans="2:8" x14ac:dyDescent="0.3">
      <c r="B60" s="1">
        <v>56</v>
      </c>
      <c r="C60" s="1" t="str">
        <v>Go To Level 7</v>
      </c>
      <c r="D60" s="1" t="str">
        <v>L7</v>
      </c>
      <c r="E60" s="1" t="str">
        <v>A-ZTraining</v>
      </c>
      <c r="F60" s="1" t="str">
        <v>Goes to level 7</v>
      </c>
      <c r="G60" s="11">
        <v>0</v>
      </c>
      <c r="H60" s="1">
        <v>2</v>
      </c>
    </row>
    <row r="61" spans="2:8" x14ac:dyDescent="0.3">
      <c r="B61" s="1">
        <v>57</v>
      </c>
      <c r="C61" s="1" t="str">
        <v>Get LEFT character</v>
      </c>
      <c r="D61" s="1" t="str">
        <v>L</v>
      </c>
      <c r="E61" s="1" t="str">
        <v>A-ZTraining</v>
      </c>
      <c r="F61" s="1" t="str">
        <v>Applies LEFT function to current cell</v>
      </c>
      <c r="G61" s="11">
        <v>0</v>
      </c>
      <c r="H61" s="1">
        <v>2</v>
      </c>
    </row>
    <row r="62" spans="2:8" x14ac:dyDescent="0.3">
      <c r="B62" s="1">
        <v>58</v>
      </c>
      <c r="C62" s="1" t="str">
        <v>Go To Bonus 5</v>
      </c>
      <c r="D62" s="1" t="str">
        <v>B5</v>
      </c>
      <c r="E62" s="1" t="str">
        <v>A-ZTraining</v>
      </c>
      <c r="F62" s="1" t="str">
        <v>Goes to bonus question 5</v>
      </c>
      <c r="G62" s="11">
        <v>0</v>
      </c>
      <c r="H62" s="1">
        <v>2</v>
      </c>
    </row>
    <row r="63" spans="2:8" x14ac:dyDescent="0.3">
      <c r="B63" s="1">
        <v>59</v>
      </c>
      <c r="C63" s="1" t="str">
        <v>Get LEFT character</v>
      </c>
      <c r="D63" s="1" t="str">
        <v>L</v>
      </c>
      <c r="E63" s="1" t="str">
        <v>A-ZTraining</v>
      </c>
      <c r="F63" s="1" t="str">
        <v>Wraps formula in LEFT</v>
      </c>
      <c r="G63" s="11">
        <v>0</v>
      </c>
      <c r="H63" s="1">
        <v>2</v>
      </c>
    </row>
    <row r="64" spans="2:8" x14ac:dyDescent="0.3">
      <c r="B64" s="1">
        <v>60</v>
      </c>
      <c r="C64" s="1" t="str">
        <v>B - Lookup terrain speed</v>
      </c>
      <c r="D64" s="1" t="str">
        <v/>
      </c>
      <c r="E64" s="1" t="str">
        <v>A-ZTraining</v>
      </c>
      <c r="F64" s="1" t="str">
        <v>Looks up terrain in terrain speed table</v>
      </c>
      <c r="G64" s="11">
        <v>1</v>
      </c>
      <c r="H64" s="1">
        <v>2</v>
      </c>
    </row>
    <row r="65" spans="2:8" x14ac:dyDescent="0.3">
      <c r="B65" s="1">
        <v>61</v>
      </c>
      <c r="C65" s="1" t="str">
        <v>B - Apply PackWeightMult Lambda</v>
      </c>
      <c r="D65" s="1" t="str">
        <v/>
      </c>
      <c r="E65" s="1" t="str">
        <v>A-ZTraining</v>
      </c>
      <c r="F65" s="1" t="str">
        <v>Applies lambdas to get pack weight</v>
      </c>
      <c r="G65" s="11">
        <v>1</v>
      </c>
      <c r="H65" s="1">
        <v>2</v>
      </c>
    </row>
    <row r="66" spans="2:8" x14ac:dyDescent="0.3">
      <c r="B66" s="1">
        <v>62</v>
      </c>
      <c r="C66" s="1" t="str">
        <v>B - Address Lookup from SpeedMap</v>
      </c>
      <c r="D66" s="1" t="str">
        <v/>
      </c>
      <c r="E66" s="1" t="str">
        <v>A-ZTraining</v>
      </c>
      <c r="F66" s="1" t="str">
        <v>Does a lookup from SpeedMapWHdr range with header codes</v>
      </c>
      <c r="G66" s="11">
        <v>1</v>
      </c>
      <c r="H66" s="1">
        <v>2</v>
      </c>
    </row>
    <row r="67" spans="2:8" x14ac:dyDescent="0.3">
      <c r="B67" s="1">
        <v>63</v>
      </c>
      <c r="C67" s="1" t="str">
        <v>B - Address Lookup from TopoMap</v>
      </c>
      <c r="D67" s="1" t="str">
        <v/>
      </c>
      <c r="E67" s="1" t="str">
        <v>A-ZTraining</v>
      </c>
      <c r="F67" s="1" t="str">
        <v>Does a lookup from TopoMapWHdr range with header codes</v>
      </c>
      <c r="G67" s="11">
        <v>1</v>
      </c>
      <c r="H67" s="1">
        <v>2</v>
      </c>
    </row>
    <row r="68" spans="2:8" x14ac:dyDescent="0.3">
      <c r="B68" s="1">
        <v>64</v>
      </c>
      <c r="C68" s="1" t="str">
        <v>B - Add UP movements</v>
      </c>
      <c r="D68" s="1" t="str">
        <v/>
      </c>
      <c r="E68" s="1" t="str">
        <v>A-ZTraining</v>
      </c>
      <c r="F68" s="1" t="str">
        <v>Sets UP values to 0.25, otherwise 0</v>
      </c>
      <c r="G68" s="11">
        <v>1</v>
      </c>
      <c r="H68" s="1">
        <v>2</v>
      </c>
    </row>
    <row r="69" spans="2:8" x14ac:dyDescent="0.3">
      <c r="B69" s="1">
        <v>65</v>
      </c>
      <c r="C69" s="1" t="str">
        <v>B - Add DOWN multiplier</v>
      </c>
      <c r="D69" s="1" t="str">
        <v/>
      </c>
      <c r="E69" s="1" t="str">
        <v>A-ZTraining</v>
      </c>
      <c r="F69" s="1" t="str">
        <v>Sets DOWN values to 1.25, otherwise 1</v>
      </c>
      <c r="G69" s="11">
        <v>1</v>
      </c>
      <c r="H69" s="1">
        <v>2</v>
      </c>
    </row>
    <row r="70" spans="2:8" x14ac:dyDescent="0.3">
      <c r="B70" s="1">
        <v>66</v>
      </c>
      <c r="C70" s="1" t="str">
        <v>Create Data Table from Array</v>
      </c>
      <c r="D70" s="1" t="str">
        <v>DTA</v>
      </c>
      <c r="E70" s="1" t="str">
        <v>A-ZTraining</v>
      </c>
      <c r="F70" s="1" t="str">
        <v>Creates a data table to the right of the selected array - assumes array has a header and first column is lookup</v>
      </c>
      <c r="G70" s="11">
        <v>0</v>
      </c>
      <c r="H70" s="1">
        <v>1</v>
      </c>
    </row>
    <row r="71" spans="2:8" x14ac:dyDescent="0.3">
      <c r="B71" s="1">
        <v>67</v>
      </c>
      <c r="C71" s="1" t="str">
        <v>Indirect</v>
      </c>
      <c r="D71" s="1" t="str">
        <v>IND</v>
      </c>
      <c r="E71" s="1" t="str">
        <v>A-ZTraining</v>
      </c>
      <c r="F71" s="1" t="str">
        <v>Gets indirect of current cell value</v>
      </c>
      <c r="G71" s="11">
        <v>0</v>
      </c>
      <c r="H71" s="1">
        <v>1</v>
      </c>
    </row>
    <row r="72" spans="2:8" x14ac:dyDescent="0.3">
      <c r="B72" s="1">
        <v>68</v>
      </c>
      <c r="C72" s="1" t="str">
        <v>Go To Level 1</v>
      </c>
      <c r="D72" s="1" t="str">
        <v>L1</v>
      </c>
      <c r="E72" s="1" t="str">
        <v>A-ZTraining</v>
      </c>
      <c r="F72" s="1" t="str">
        <v>Goes to level 1</v>
      </c>
      <c r="G72" s="11">
        <v>0</v>
      </c>
      <c r="H72" s="1">
        <v>1</v>
      </c>
    </row>
    <row r="73" spans="2:8" x14ac:dyDescent="0.3">
      <c r="B73" s="1">
        <v>69</v>
      </c>
      <c r="C73" s="1" t="str">
        <v>Select Last Input And Remove</v>
      </c>
      <c r="D73" s="1" t="str">
        <v>R-0</v>
      </c>
      <c r="E73" s="1" t="str">
        <v>A-ZTraining</v>
      </c>
      <c r="F73" s="1" t="str">
        <v>Removes an inputted string from the last column of the inputs for a level</v>
      </c>
      <c r="G73" s="11">
        <v>0</v>
      </c>
      <c r="H73" s="1">
        <v>1</v>
      </c>
    </row>
    <row r="74" spans="2:8" x14ac:dyDescent="0.3">
      <c r="B74" s="1">
        <v>70</v>
      </c>
      <c r="C74" s="1" t="str">
        <v>Go To Level 2</v>
      </c>
      <c r="D74" s="1" t="str">
        <v>L2</v>
      </c>
      <c r="E74" s="1" t="str">
        <v>A-ZTraining</v>
      </c>
      <c r="F74" s="1" t="str">
        <v>Goes to level 2</v>
      </c>
      <c r="G74" s="11">
        <v>0</v>
      </c>
      <c r="H74" s="1">
        <v>1</v>
      </c>
    </row>
    <row r="75" spans="2:8" x14ac:dyDescent="0.3">
      <c r="B75" s="1">
        <v>71</v>
      </c>
      <c r="C75" s="1" t="str">
        <v>Go To Level 3</v>
      </c>
      <c r="D75" s="1" t="str">
        <v>L3</v>
      </c>
      <c r="E75" s="1" t="str">
        <v>A-ZTraining</v>
      </c>
      <c r="F75" s="1" t="str">
        <v>Goes to level 3</v>
      </c>
      <c r="G75" s="11">
        <v>0</v>
      </c>
      <c r="H75" s="1">
        <v>1</v>
      </c>
    </row>
    <row r="76" spans="2:8" x14ac:dyDescent="0.3">
      <c r="B76" s="1">
        <v>72</v>
      </c>
      <c r="C76" s="1" t="str">
        <v>Duplicate Array Formula to Right</v>
      </c>
      <c r="D76" s="1" t="str">
        <v>DFR</v>
      </c>
      <c r="E76" s="1" t="str">
        <v>A-ZTraining</v>
      </c>
      <c r="F76" s="1" t="str">
        <v>Copies formula in current cell to the right as exact formula (arrays only)</v>
      </c>
      <c r="G76" s="11">
        <v>0</v>
      </c>
      <c r="H76" s="1">
        <v>1</v>
      </c>
    </row>
    <row r="77" spans="2:8" x14ac:dyDescent="0.3">
      <c r="B77" s="1">
        <v>73</v>
      </c>
      <c r="C77" s="1" t="str">
        <v>Select Previous Column</v>
      </c>
      <c r="D77" s="1" t="str">
        <v>SPC</v>
      </c>
      <c r="E77" s="1" t="str">
        <v>A-ZTraining</v>
      </c>
      <c r="F77" s="1" t="str">
        <v>Selects previous column</v>
      </c>
      <c r="G77" s="11">
        <v>0</v>
      </c>
      <c r="H77" s="1">
        <v>1</v>
      </c>
    </row>
    <row r="78" spans="2:8" x14ac:dyDescent="0.3">
      <c r="B78" s="1">
        <v>74</v>
      </c>
      <c r="C78" s="1" t="str">
        <v>Multiply By 1000</v>
      </c>
      <c r="D78" s="1" t="str">
        <v>M1k</v>
      </c>
      <c r="E78" s="1" t="str">
        <v>A-ZTraining</v>
      </c>
      <c r="F78" s="1" t="str">
        <v>Multiplies value by 1000</v>
      </c>
      <c r="G78" s="11">
        <v>0</v>
      </c>
      <c r="H78" s="1">
        <v>1</v>
      </c>
    </row>
    <row r="79" spans="2:8" x14ac:dyDescent="0.3">
      <c r="B79" s="1">
        <v>75</v>
      </c>
      <c r="C79" s="1" t="str">
        <v>Paste Filter Array By Copied Cells in Row 1</v>
      </c>
      <c r="D79" s="1" t="str">
        <v>PFA</v>
      </c>
      <c r="E79" s="1" t="str">
        <v>A-Ztraining</v>
      </c>
      <c r="F79" s="1" t="str">
        <v>Filters each cell in selection, where first row of the cell = each cell of clipboard</v>
      </c>
      <c r="G79" s="11">
        <v>0</v>
      </c>
      <c r="H79" s="1">
        <v>1</v>
      </c>
    </row>
    <row r="80" spans="2:8" x14ac:dyDescent="0.3">
      <c r="B80" s="1">
        <v>76</v>
      </c>
      <c r="C80" s="1" t="str">
        <v>Count Columns Of ArrayS</v>
      </c>
      <c r="D80" s="1" t="str">
        <v>CC</v>
      </c>
      <c r="E80" s="1" t="str">
        <v>A-Ztraining</v>
      </c>
      <c r="F80" s="1" t="str">
        <v>Wraps each array in COLUMNS to return a column count</v>
      </c>
      <c r="G80" s="11">
        <v>0</v>
      </c>
      <c r="H80" s="1">
        <v>1</v>
      </c>
    </row>
    <row r="81" spans="2:8" x14ac:dyDescent="0.3">
      <c r="B81" s="1">
        <v>77</v>
      </c>
      <c r="C81" s="1" t="str">
        <v>Duplicate Arrays to Right</v>
      </c>
      <c r="D81" s="1" t="str">
        <v>Ctrl-Shift-R</v>
      </c>
      <c r="E81" s="1" t="str">
        <v>A-ZTraining</v>
      </c>
      <c r="F81" s="1" t="str">
        <v>Copies current arrays to the right, row by row so not a single large array!</v>
      </c>
      <c r="G81" s="11">
        <v>0</v>
      </c>
      <c r="H81" s="1">
        <v>1</v>
      </c>
    </row>
    <row r="82" spans="2:8" x14ac:dyDescent="0.3">
      <c r="B82" s="1">
        <v>78</v>
      </c>
      <c r="C82" s="1" t="str">
        <v>Count Unique Values In ArrayS</v>
      </c>
      <c r="D82" s="1" t="str">
        <v>CU</v>
      </c>
      <c r="E82" s="1" t="str">
        <v>A-ZTraining</v>
      </c>
      <c r="F82" s="1" t="str">
        <v>Applies a COUNTEACHUNIQUEVALUE lambda to each selected array (copied from Array Robot)</v>
      </c>
      <c r="G82" s="11">
        <v>0</v>
      </c>
      <c r="H82" s="1">
        <v>1</v>
      </c>
    </row>
    <row r="83" spans="2:8" x14ac:dyDescent="0.3">
      <c r="B83" s="1">
        <v>79</v>
      </c>
      <c r="C83" s="1" t="str">
        <v>B - Calculate Total Time with Pack Adjustment</v>
      </c>
      <c r="D83" s="1" t="str">
        <v/>
      </c>
      <c r="E83" s="1" t="str">
        <v>A-ZTraining</v>
      </c>
      <c r="F83" s="1" t="str">
        <v>Calculates Total Time with adjustment for pack weight</v>
      </c>
      <c r="G83" s="11">
        <v>0</v>
      </c>
      <c r="H83" s="1">
        <v>1</v>
      </c>
    </row>
    <row r="84" spans="2:8" x14ac:dyDescent="0.3">
      <c r="B84" s="1">
        <v>80</v>
      </c>
      <c r="C84" s="1" t="str">
        <v>Go To Level 6</v>
      </c>
      <c r="D84" s="1" t="str">
        <v>L6</v>
      </c>
      <c r="E84" s="1" t="str">
        <v>A-ZTraining</v>
      </c>
      <c r="F84" s="1" t="str">
        <v>Goes to level 6</v>
      </c>
      <c r="G84" s="11">
        <v>0</v>
      </c>
      <c r="H84" s="1">
        <v>1</v>
      </c>
    </row>
    <row r="85" spans="2:8" x14ac:dyDescent="0.3">
      <c r="B85" s="1">
        <v>81</v>
      </c>
      <c r="C85" s="1" t="str">
        <v>Multiply By 2</v>
      </c>
      <c r="D85" s="1" t="str">
        <v>M2</v>
      </c>
      <c r="E85" s="1" t="str">
        <v>A-ZTraining</v>
      </c>
      <c r="F85" s="1" t="str">
        <v>Multiplies value by 2</v>
      </c>
      <c r="G85" s="11">
        <v>0</v>
      </c>
      <c r="H85" s="1">
        <v>1</v>
      </c>
    </row>
    <row r="86" spans="2:8" x14ac:dyDescent="0.3">
      <c r="B86" s="1">
        <v>82</v>
      </c>
      <c r="C86" s="1" t="str">
        <v>Subtract 1</v>
      </c>
      <c r="D86" s="1" t="str">
        <v>S1</v>
      </c>
      <c r="E86" s="1" t="str">
        <v>A-ZTraining</v>
      </c>
      <c r="F86" s="1" t="str">
        <v>Subtracts 1 from current cell value</v>
      </c>
      <c r="G86" s="11">
        <v>0</v>
      </c>
      <c r="H86" s="1">
        <v>1</v>
      </c>
    </row>
    <row r="87" spans="2:8" x14ac:dyDescent="0.3">
      <c r="B87" s="1">
        <v>83</v>
      </c>
      <c r="C87" s="1" t="str">
        <v>Get Sequence By Columns</v>
      </c>
      <c r="D87" s="1" t="str">
        <v>SC</v>
      </c>
      <c r="E87" s="1" t="str">
        <v>A-ZTraining</v>
      </c>
      <c r="F87" s="1" t="str">
        <v>Gets a Sequence by columns from 1 to the value in the active cell</v>
      </c>
      <c r="G87" s="11">
        <v>0</v>
      </c>
      <c r="H87" s="1">
        <v>1</v>
      </c>
    </row>
    <row r="88" spans="2:8" x14ac:dyDescent="0.3">
      <c r="B88" s="1">
        <v>84</v>
      </c>
      <c r="C88" s="1" t="str">
        <v>Move Left 4</v>
      </c>
      <c r="D88" s="1" t="str">
        <v/>
      </c>
      <c r="E88" s="1" t="str">
        <v>A-ZTraining</v>
      </c>
      <c r="F88" s="1" t="str">
        <v>Navigation only - moves 4 cells to the left</v>
      </c>
      <c r="G88" s="11">
        <v>0</v>
      </c>
      <c r="H88" s="1">
        <v>1</v>
      </c>
    </row>
    <row r="89" spans="2:8" x14ac:dyDescent="0.3">
      <c r="B89" s="1">
        <v>85</v>
      </c>
      <c r="C89" s="1" t="str">
        <v>Move Right 4</v>
      </c>
      <c r="D89" s="1" t="str">
        <v/>
      </c>
      <c r="E89" s="1" t="str">
        <v>A-ZTraining</v>
      </c>
      <c r="F89" s="1" t="str">
        <v>Navigation only - moves 4 cells to the right</v>
      </c>
      <c r="G89" s="11">
        <v>0</v>
      </c>
      <c r="H89" s="1">
        <v>1</v>
      </c>
    </row>
    <row r="90" spans="2:8" x14ac:dyDescent="0.3">
      <c r="B90" s="1">
        <v>86</v>
      </c>
      <c r="C90" s="1" t="str">
        <v>Move Up 1</v>
      </c>
      <c r="D90" s="1" t="str">
        <v/>
      </c>
      <c r="E90" s="1" t="str">
        <v>A-ZTraining</v>
      </c>
      <c r="F90" s="1" t="str">
        <v>Navigation only - moves a cell up</v>
      </c>
      <c r="G90" s="11">
        <v>0</v>
      </c>
      <c r="H90" s="1">
        <v>1</v>
      </c>
    </row>
    <row r="91" spans="2:8" x14ac:dyDescent="0.3">
      <c r="B91" s="1">
        <v>87</v>
      </c>
      <c r="C91" s="1" t="str">
        <v>Go To Bonus 1</v>
      </c>
      <c r="D91" s="1" t="str">
        <v>B1</v>
      </c>
      <c r="E91" s="1" t="str">
        <v>A-ZTraining</v>
      </c>
      <c r="F91" s="1" t="str">
        <v>Goes to bonus question 1</v>
      </c>
      <c r="G91" s="11">
        <v>0</v>
      </c>
      <c r="H91" s="1">
        <v>1</v>
      </c>
    </row>
    <row r="92" spans="2:8" x14ac:dyDescent="0.3">
      <c r="B92" s="1">
        <v>88</v>
      </c>
      <c r="C92" s="1" t="str">
        <v>Go To Bonus 2</v>
      </c>
      <c r="D92" s="1" t="str">
        <v>B2</v>
      </c>
      <c r="E92" s="1" t="str">
        <v>A-ZTraining</v>
      </c>
      <c r="F92" s="1" t="str">
        <v>Goes to bonus question 2</v>
      </c>
      <c r="G92" s="11">
        <v>0</v>
      </c>
      <c r="H92" s="1">
        <v>1</v>
      </c>
    </row>
    <row r="93" spans="2:8" x14ac:dyDescent="0.3">
      <c r="B93" s="1">
        <v>89</v>
      </c>
      <c r="C93" s="1" t="str">
        <v>Go To Bonus 3</v>
      </c>
      <c r="D93" s="1" t="str">
        <v>B3</v>
      </c>
      <c r="E93" s="1" t="str">
        <v>A-ZTraining</v>
      </c>
      <c r="F93" s="1" t="str">
        <v>Goes to bonus question 3</v>
      </c>
      <c r="G93" s="11">
        <v>0</v>
      </c>
      <c r="H93" s="1">
        <v>1</v>
      </c>
    </row>
    <row r="94" spans="2:8" x14ac:dyDescent="0.3">
      <c r="B94" s="1">
        <v>90</v>
      </c>
      <c r="C94" s="1" t="str">
        <v>Move Right 11</v>
      </c>
      <c r="D94" s="1" t="str">
        <v/>
      </c>
      <c r="E94" s="1" t="str">
        <v>A-ZTraining</v>
      </c>
      <c r="F94" s="1" t="str">
        <v>Navigation only - moves 11 cells to the right</v>
      </c>
      <c r="G94" s="11">
        <v>0</v>
      </c>
      <c r="H94" s="1">
        <v>1</v>
      </c>
    </row>
    <row r="95" spans="2:8" x14ac:dyDescent="0.3">
      <c r="B95" s="1">
        <v>91</v>
      </c>
      <c r="C95" s="1" t="str">
        <v>Paste Join by Semicolon</v>
      </c>
      <c r="D95" s="1" t="str">
        <v>PJ;</v>
      </c>
      <c r="E95" s="1" t="str">
        <v>A-ZTraining</v>
      </c>
      <c r="F95" s="1" t="str">
        <v>Creates a TEXTJOIN by ; with the clipboard range</v>
      </c>
      <c r="G95" s="11">
        <v>0</v>
      </c>
      <c r="H95" s="1">
        <v>1</v>
      </c>
    </row>
    <row r="96" spans="2:8" x14ac:dyDescent="0.3">
      <c r="B96" s="1">
        <v>92</v>
      </c>
      <c r="C96" s="1" t="str">
        <v>Address Lookup on Value Above</v>
      </c>
      <c r="D96" s="1" t="str">
        <v>AL</v>
      </c>
      <c r="E96" s="1" t="str">
        <v>A-ZTraining</v>
      </c>
      <c r="F96" s="1" t="str">
        <v>Calls ALOOKUP to look up value above in selected range and return address</v>
      </c>
      <c r="G96" s="11">
        <v>0</v>
      </c>
      <c r="H96" s="1">
        <v>1</v>
      </c>
    </row>
    <row r="97" spans="2:8" x14ac:dyDescent="0.3">
      <c r="B97" s="1">
        <v>93</v>
      </c>
      <c r="C97" s="1" t="str">
        <v>Count Errors</v>
      </c>
      <c r="D97" s="1" t="str">
        <v>CE</v>
      </c>
      <c r="E97" s="1" t="str">
        <v>A-ZTraining</v>
      </c>
      <c r="F97" s="1" t="str">
        <v>Counts errors in the spilled array</v>
      </c>
      <c r="G97" s="11">
        <v>0</v>
      </c>
      <c r="H97" s="1">
        <v>1</v>
      </c>
    </row>
    <row r="98" spans="2:8" x14ac:dyDescent="0.3">
      <c r="B98" s="1">
        <v>94</v>
      </c>
      <c r="C98" s="1" t="str">
        <v>Duplicate Array Formula 2 To Right</v>
      </c>
      <c r="D98" s="1" t="str">
        <v>DF2</v>
      </c>
      <c r="E98" s="1" t="str">
        <v>A-ZTraining</v>
      </c>
      <c r="F98" s="1" t="str">
        <v>Copies current arrays to the right, row by row so not a single large array!</v>
      </c>
      <c r="G98" s="11">
        <v>0</v>
      </c>
      <c r="H98" s="1">
        <v>1</v>
      </c>
    </row>
    <row r="99" spans="2:8" x14ac:dyDescent="0.3">
      <c r="B99" s="1">
        <v>95</v>
      </c>
      <c r="C99" s="1" t="str">
        <v>Transpose Array</v>
      </c>
      <c r="D99" s="1" t="str">
        <v>T</v>
      </c>
      <c r="E99" s="1" t="str">
        <v>Array Robot</v>
      </c>
      <c r="F99" s="1" t="str">
        <v>Applies TRANSPOSE to current array(s)</v>
      </c>
      <c r="G99" s="11">
        <v>0</v>
      </c>
      <c r="H99" s="1">
        <v>1</v>
      </c>
    </row>
    <row r="100" spans="2:8" x14ac:dyDescent="0.3">
      <c r="B100" s="1">
        <v>96</v>
      </c>
      <c r="C100" s="1" t="str">
        <v>Wrap in UNIQUE</v>
      </c>
      <c r="D100" s="1" t="str">
        <v>U</v>
      </c>
      <c r="E100" s="1" t="str">
        <v>CompBot</v>
      </c>
      <c r="F100" s="1" t="str">
        <v>Applies UNIQUE to current array(s)</v>
      </c>
      <c r="G100" s="11">
        <v>0</v>
      </c>
      <c r="H100" s="1">
        <v>1</v>
      </c>
    </row>
    <row r="101" spans="2:8" x14ac:dyDescent="0.3">
      <c r="B101" s="1">
        <v>97</v>
      </c>
      <c r="C101" s="1" t="str">
        <v>Count Rows Of Array</v>
      </c>
      <c r="D101" s="1" t="str">
        <v>CR</v>
      </c>
      <c r="E101" s="1" t="str">
        <v>Array Robot</v>
      </c>
      <c r="F101" s="1" t="str">
        <v>Counts rows in current array(s)</v>
      </c>
      <c r="G101" s="11">
        <v>0</v>
      </c>
      <c r="H101" s="1">
        <v>1</v>
      </c>
    </row>
    <row r="102" spans="2:8" x14ac:dyDescent="0.3">
      <c r="B102" s="1">
        <v>98</v>
      </c>
      <c r="C102" s="1" t="str">
        <v>Go to First Cell in Row</v>
      </c>
      <c r="D102" s="1" t="str">
        <v/>
      </c>
      <c r="E102" s="1" t="str">
        <v>A-ZTraining</v>
      </c>
      <c r="F102" s="1" t="str">
        <v>Goes to first cell in row</v>
      </c>
      <c r="G102" s="11">
        <v>0</v>
      </c>
      <c r="H102" s="1">
        <v>1</v>
      </c>
    </row>
    <row r="103" spans="2:8" x14ac:dyDescent="0.3">
      <c r="B103" s="1">
        <v>99</v>
      </c>
      <c r="C103" s="1" t="str">
        <v>Move Right 5</v>
      </c>
      <c r="D103" s="1" t="str">
        <v/>
      </c>
      <c r="E103" s="1" t="str">
        <v>A-ZTraining</v>
      </c>
      <c r="F103" s="1" t="str">
        <v>Navigation only - moves 5 cells to the right</v>
      </c>
      <c r="G103" s="11">
        <v>0</v>
      </c>
      <c r="H103" s="1">
        <v>1</v>
      </c>
    </row>
    <row r="104" spans="2:8" x14ac:dyDescent="0.3">
      <c r="B104" s="1">
        <v>100</v>
      </c>
      <c r="C104" s="1" t="str">
        <v>Ctrl Right</v>
      </c>
      <c r="D104" s="1" t="str">
        <v/>
      </c>
      <c r="E104" s="1" t="str">
        <v>A-ZTraining</v>
      </c>
      <c r="F104" s="1" t="str">
        <v>Ctrl-Right: Goes to last cell to right</v>
      </c>
      <c r="G104" s="11">
        <v>0</v>
      </c>
      <c r="H104" s="1">
        <v>1</v>
      </c>
    </row>
    <row r="105" spans="2:8" x14ac:dyDescent="0.3">
      <c r="B105" s="1">
        <v>101</v>
      </c>
      <c r="C105" s="1" t="str">
        <v>Remove Outer Function</v>
      </c>
      <c r="D105" s="1" t="str">
        <v>Ctrl-Shift-Z</v>
      </c>
      <c r="E105" s="1" t="str">
        <v>Formula Robot</v>
      </c>
      <c r="F105" s="1" t="str">
        <v>Removes outermost function from cell formula</v>
      </c>
      <c r="G105" s="11">
        <v>0</v>
      </c>
      <c r="H105" s="1">
        <v>1</v>
      </c>
    </row>
    <row r="106" spans="2:8" x14ac:dyDescent="0.3">
      <c r="B106" s="1">
        <v>102</v>
      </c>
      <c r="C106" s="1" t="str">
        <v>Paste Get Items Not in List</v>
      </c>
      <c r="D106" s="1" t="str">
        <v>PGNIL</v>
      </c>
      <c r="E106" s="1" t="str">
        <v>A-ZTraining</v>
      </c>
      <c r="F106" s="1" t="str">
        <v>Gets values  that are in the array in the clipboard but not in the active cell list</v>
      </c>
      <c r="G106" s="11">
        <v>0</v>
      </c>
      <c r="H106" s="1">
        <v>1</v>
      </c>
    </row>
    <row r="107" spans="2:8" x14ac:dyDescent="0.3">
      <c r="B107" s="1">
        <v>103</v>
      </c>
      <c r="C107" s="1" t="str">
        <v>Select Right</v>
      </c>
      <c r="D107" s="1" t="str">
        <v/>
      </c>
      <c r="E107" s="1" t="str">
        <v>A-ZTraining</v>
      </c>
      <c r="F107" s="1" t="str">
        <v>Ctrl-Shift-Right: selects from current cell to the right</v>
      </c>
      <c r="G107" s="11">
        <v>0</v>
      </c>
      <c r="H107" s="1">
        <v>1</v>
      </c>
    </row>
    <row r="108" spans="2:8" x14ac:dyDescent="0.3">
      <c r="B108" s="1">
        <v>104</v>
      </c>
      <c r="C108" s="1" t="str">
        <v>Wrap in Concat</v>
      </c>
      <c r="D108" s="1" t="str">
        <v>CON</v>
      </c>
      <c r="E108" s="1" t="str">
        <v>CompBot</v>
      </c>
      <c r="F108" s="1" t="str">
        <v>Wraps formula in CONCAT</v>
      </c>
      <c r="G108" s="11">
        <v>0</v>
      </c>
      <c r="H108" s="1">
        <v>1</v>
      </c>
    </row>
    <row r="109" spans="2:8" x14ac:dyDescent="0.3">
      <c r="B109" s="1">
        <v>105</v>
      </c>
      <c r="C109" s="1" t="str">
        <v>A - Get Range Name</v>
      </c>
      <c r="D109" s="1" t="str">
        <v/>
      </c>
      <c r="E109" s="1" t="str">
        <v>A-ZTraining</v>
      </c>
      <c r="F109" s="1" t="str">
        <v>Gets name of shape range from input array</v>
      </c>
      <c r="G109" s="11">
        <v>1</v>
      </c>
      <c r="H109" s="1">
        <v>1</v>
      </c>
    </row>
    <row r="110" spans="2:8" x14ac:dyDescent="0.3">
      <c r="B110" s="1">
        <v>106</v>
      </c>
      <c r="C110" s="1" t="str">
        <v>A - Link to range Bingo1</v>
      </c>
      <c r="D110" s="1" t="str">
        <v/>
      </c>
      <c r="E110" s="1" t="str">
        <v>A-ZTraining</v>
      </c>
      <c r="F110" s="1" t="str">
        <v>links to Bingo1 named range</v>
      </c>
      <c r="G110" s="11">
        <v>1</v>
      </c>
      <c r="H110" s="1">
        <v>1</v>
      </c>
    </row>
    <row r="111" spans="2:8" x14ac:dyDescent="0.3">
      <c r="B111" s="1">
        <v>107</v>
      </c>
      <c r="C111" s="1" t="str">
        <v>A - Link to range Bingo2</v>
      </c>
      <c r="D111" s="1" t="str">
        <v/>
      </c>
      <c r="E111" s="1" t="str">
        <v>A-ZTraining</v>
      </c>
      <c r="F111" s="1" t="str">
        <v>links to Bingo2 named range</v>
      </c>
      <c r="G111" s="11">
        <v>1</v>
      </c>
      <c r="H111" s="1">
        <v>1</v>
      </c>
    </row>
    <row r="112" spans="2:8" x14ac:dyDescent="0.3">
      <c r="B112" s="1">
        <v>108</v>
      </c>
      <c r="C112" s="1" t="str">
        <v>A - Calculations for Answer</v>
      </c>
      <c r="D112" s="1" t="str">
        <v/>
      </c>
      <c r="E112" s="1" t="str">
        <v>A-ZTraining</v>
      </c>
      <c r="F112" s="1" t="str">
        <v>Sets up final calculation explicitly for this file</v>
      </c>
      <c r="G112" s="11">
        <v>1</v>
      </c>
      <c r="H112" s="1">
        <v>1</v>
      </c>
    </row>
    <row r="113" spans="2:8" x14ac:dyDescent="0.3">
      <c r="B113" s="1">
        <v>109</v>
      </c>
      <c r="C113" s="1" t="str">
        <v>B - Name Ranges: Bushland Adventures Cum Pack</v>
      </c>
      <c r="D113" s="1" t="str">
        <v>NRB2</v>
      </c>
      <c r="E113" s="1" t="str">
        <v>A-ZTraining</v>
      </c>
      <c r="F113" s="1" t="str">
        <v>Sets up named ranges explicitly for this file</v>
      </c>
      <c r="G113" s="11">
        <v>1</v>
      </c>
      <c r="H113" s="1">
        <v>1</v>
      </c>
    </row>
    <row r="114" spans="2:8" x14ac:dyDescent="0.3">
      <c r="B114" s="1">
        <v>110</v>
      </c>
      <c r="C114" s="1" t="str">
        <v>B - Remove KM</v>
      </c>
      <c r="D114" s="1" t="str">
        <v/>
      </c>
      <c r="E114" s="1" t="str">
        <v>A-ZTraining</v>
      </c>
      <c r="F114" s="1" t="str">
        <v>AS ABOVE WITH INPUT "km"</v>
      </c>
      <c r="G114" s="11">
        <v>1</v>
      </c>
      <c r="H114" s="1">
        <v>1</v>
      </c>
    </row>
    <row r="115" spans="2:8" x14ac:dyDescent="0.3">
      <c r="B115" s="1">
        <v>111</v>
      </c>
      <c r="C115" s="1" t="str">
        <v>B - Scan above array with Arrow Shift</v>
      </c>
      <c r="D115" s="1" t="str">
        <v/>
      </c>
      <c r="E115" s="1" t="str">
        <v>A-ZTraining</v>
      </c>
      <c r="F115" s="1" t="str">
        <v>Scans the current array and stacks the starting cell with arrow movements</v>
      </c>
      <c r="G115" s="11">
        <v>1</v>
      </c>
      <c r="H115" s="1">
        <v>1</v>
      </c>
    </row>
    <row r="116" spans="2:8" x14ac:dyDescent="0.3">
      <c r="B116" s="1">
        <v>112</v>
      </c>
      <c r="C116" s="1" t="str">
        <v>B - Bonus 1 calc</v>
      </c>
      <c r="D116" s="1" t="str">
        <v/>
      </c>
      <c r="E116" s="1" t="str">
        <v>A-ZTraining</v>
      </c>
      <c r="F116" s="1" t="str">
        <v>Sets up calculation for Bonus 1</v>
      </c>
      <c r="G116" s="11">
        <v>1</v>
      </c>
      <c r="H116" s="1">
        <v>1</v>
      </c>
    </row>
    <row r="117" spans="2:8" x14ac:dyDescent="0.3">
      <c r="B117" s="1">
        <v>113</v>
      </c>
      <c r="C117" s="1" t="str">
        <v>B - Link to SpeedMap</v>
      </c>
      <c r="D117" s="1" t="str">
        <v/>
      </c>
      <c r="E117" s="1" t="str">
        <v>A-ZTraining</v>
      </c>
      <c r="F117" s="1" t="str">
        <v>Links to SpeedMap range</v>
      </c>
      <c r="G117" s="11">
        <v>1</v>
      </c>
      <c r="H117" s="1">
        <v>1</v>
      </c>
    </row>
    <row r="118" spans="2:8" x14ac:dyDescent="0.3">
      <c r="B118" s="1">
        <v>114</v>
      </c>
      <c r="C118" s="1" t="str">
        <v>B - Link to Level 3 Pack Weights</v>
      </c>
      <c r="D118" s="1" t="str">
        <v/>
      </c>
      <c r="E118" s="1" t="str">
        <v>A-ZTraining</v>
      </c>
      <c r="F118" s="1" t="str">
        <v>Links to level 3 pack weights calculation</v>
      </c>
      <c r="G118" s="11">
        <v>1</v>
      </c>
      <c r="H118" s="1">
        <v>1</v>
      </c>
    </row>
    <row r="119" spans="2:8" x14ac:dyDescent="0.3">
      <c r="B119" s="1">
        <v>115</v>
      </c>
      <c r="C119" s="1" t="str">
        <v>B - Bonus 4 - set value to Rock</v>
      </c>
      <c r="D119" s="1" t="str">
        <v/>
      </c>
      <c r="E119" s="1" t="str">
        <v>A-ZTraining</v>
      </c>
      <c r="F119" s="1" t="str">
        <v>Sets value to rock</v>
      </c>
      <c r="G119" s="11">
        <v>1</v>
      </c>
      <c r="H119" s="1">
        <v>1</v>
      </c>
    </row>
    <row r="120" spans="2:8" x14ac:dyDescent="0.3">
      <c r="B120" s="1">
        <v>116</v>
      </c>
      <c r="C120" s="1" t="str">
        <v>B - Link to TerrMap</v>
      </c>
      <c r="D120" s="1" t="str">
        <v/>
      </c>
      <c r="E120" s="1" t="str">
        <v>A-ZTraining</v>
      </c>
      <c r="F120" s="1" t="str">
        <v>Links to TerrMap range</v>
      </c>
      <c r="G120" s="11">
        <v>1</v>
      </c>
      <c r="H120" s="1">
        <v>1</v>
      </c>
    </row>
    <row r="121" spans="2:8" x14ac:dyDescent="0.3">
      <c r="B121" s="1">
        <v>117</v>
      </c>
      <c r="C121" s="1" t="str">
        <v>B - Apply EZINDIRECT to array in cell from TerrainMap sheet</v>
      </c>
      <c r="D121" s="1" t="str">
        <v/>
      </c>
      <c r="E121" s="1" t="str">
        <v>A-ZTraining</v>
      </c>
      <c r="F121" s="1" t="str">
        <v>Gets values from those cells in the TerrainMap</v>
      </c>
      <c r="G121" s="11">
        <v>1</v>
      </c>
      <c r="H121" s="1">
        <v>1</v>
      </c>
    </row>
    <row r="122" spans="2:8" x14ac:dyDescent="0.3">
      <c r="B122" s="1">
        <v>118</v>
      </c>
      <c r="C122" s="1" t="str">
        <v>B - B5 - Go To 5</v>
      </c>
      <c r="D122" s="1" t="str">
        <v/>
      </c>
      <c r="E122" s="1" t="str">
        <v>A-ZTraining</v>
      </c>
      <c r="F122" s="1" t="str">
        <v>Goes to cell in selection with value 5</v>
      </c>
      <c r="G122" s="11">
        <v>1</v>
      </c>
      <c r="H122" s="1">
        <v>1</v>
      </c>
    </row>
    <row r="123" spans="2:8" x14ac:dyDescent="0.3">
      <c r="B123" s="1">
        <v>119</v>
      </c>
      <c r="C123" s="1" t="str">
        <v>B - B5 - Paste Get Items Not in Terrain List</v>
      </c>
      <c r="D123" s="1" t="str">
        <v/>
      </c>
      <c r="E123" s="1" t="str">
        <v>A-ZTraining</v>
      </c>
      <c r="F123" s="1" t="str">
        <v>Gets terrain that is not in the current list</v>
      </c>
      <c r="G123" s="11">
        <v>1</v>
      </c>
      <c r="H123" s="1">
        <v>1</v>
      </c>
    </row>
    <row r="124" spans="2:8" x14ac:dyDescent="0.3">
      <c r="G124" s="11"/>
    </row>
    <row r="125" spans="2:8" x14ac:dyDescent="0.3">
      <c r="G125" s="11"/>
    </row>
    <row r="126" spans="2:8" x14ac:dyDescent="0.3">
      <c r="G126" s="11"/>
    </row>
    <row r="127" spans="2:8" x14ac:dyDescent="0.3">
      <c r="G127" s="11"/>
    </row>
    <row r="128" spans="2:8" x14ac:dyDescent="0.3">
      <c r="G128" s="11"/>
    </row>
    <row r="129" spans="7:7" x14ac:dyDescent="0.3">
      <c r="G129" s="11"/>
    </row>
    <row r="130" spans="7:7" x14ac:dyDescent="0.3">
      <c r="G130" s="11"/>
    </row>
    <row r="131" spans="7:7" x14ac:dyDescent="0.3">
      <c r="G131" s="11"/>
    </row>
    <row r="132" spans="7:7" x14ac:dyDescent="0.3">
      <c r="G132" s="11"/>
    </row>
    <row r="133" spans="7:7" x14ac:dyDescent="0.3">
      <c r="G133" s="11"/>
    </row>
    <row r="134" spans="7:7" x14ac:dyDescent="0.3">
      <c r="G134" s="11"/>
    </row>
    <row r="135" spans="7:7" x14ac:dyDescent="0.3">
      <c r="G135" s="11"/>
    </row>
    <row r="136" spans="7:7" x14ac:dyDescent="0.3">
      <c r="G136" s="11"/>
    </row>
    <row r="137" spans="7:7" x14ac:dyDescent="0.3">
      <c r="G137" s="11"/>
    </row>
    <row r="138" spans="7:7" x14ac:dyDescent="0.3">
      <c r="G138" s="11"/>
    </row>
    <row r="139" spans="7:7" x14ac:dyDescent="0.3">
      <c r="G139" s="11"/>
    </row>
    <row r="140" spans="7:7" x14ac:dyDescent="0.3">
      <c r="G140" s="11"/>
    </row>
    <row r="141" spans="7:7" x14ac:dyDescent="0.3">
      <c r="G141" s="11"/>
    </row>
    <row r="142" spans="7:7" x14ac:dyDescent="0.3">
      <c r="G142" s="11"/>
    </row>
    <row r="143" spans="7:7" x14ac:dyDescent="0.3">
      <c r="G143" s="11"/>
    </row>
    <row r="144" spans="7:7" x14ac:dyDescent="0.3">
      <c r="G144" s="11"/>
    </row>
    <row r="145" spans="7:7" x14ac:dyDescent="0.3">
      <c r="G145" s="11"/>
    </row>
    <row r="146" spans="7:7" x14ac:dyDescent="0.3">
      <c r="G146" s="11"/>
    </row>
    <row r="147" spans="7:7" x14ac:dyDescent="0.3">
      <c r="G147" s="11"/>
    </row>
    <row r="148" spans="7:7" x14ac:dyDescent="0.3">
      <c r="G148" s="11"/>
    </row>
    <row r="149" spans="7:7" x14ac:dyDescent="0.3">
      <c r="G149" s="11"/>
    </row>
    <row r="150" spans="7:7" x14ac:dyDescent="0.3">
      <c r="G150" s="11"/>
    </row>
    <row r="151" spans="7:7" x14ac:dyDescent="0.3">
      <c r="G151" s="11"/>
    </row>
    <row r="152" spans="7:7" x14ac:dyDescent="0.3">
      <c r="G152" s="11"/>
    </row>
    <row r="153" spans="7:7" x14ac:dyDescent="0.3">
      <c r="G153" s="11"/>
    </row>
    <row r="154" spans="7:7" x14ac:dyDescent="0.3">
      <c r="G154" s="11"/>
    </row>
    <row r="155" spans="7:7" x14ac:dyDescent="0.3">
      <c r="G155" s="11"/>
    </row>
    <row r="156" spans="7:7" x14ac:dyDescent="0.3">
      <c r="G156" s="11"/>
    </row>
    <row r="157" spans="7:7" x14ac:dyDescent="0.3">
      <c r="G157" s="11"/>
    </row>
    <row r="158" spans="7:7" x14ac:dyDescent="0.3">
      <c r="G158" s="11"/>
    </row>
    <row r="159" spans="7:7" x14ac:dyDescent="0.3">
      <c r="G159" s="11"/>
    </row>
    <row r="160" spans="7:7" x14ac:dyDescent="0.3">
      <c r="G160" s="11"/>
    </row>
    <row r="161" spans="7:7" x14ac:dyDescent="0.3">
      <c r="G161" s="11"/>
    </row>
    <row r="162" spans="7:7" x14ac:dyDescent="0.3">
      <c r="G162" s="11"/>
    </row>
    <row r="163" spans="7:7" x14ac:dyDescent="0.3">
      <c r="G163" s="11"/>
    </row>
    <row r="164" spans="7:7" x14ac:dyDescent="0.3">
      <c r="G164" s="11"/>
    </row>
    <row r="165" spans="7:7" x14ac:dyDescent="0.3">
      <c r="G165" s="11"/>
    </row>
    <row r="166" spans="7:7" x14ac:dyDescent="0.3">
      <c r="G166" s="11"/>
    </row>
    <row r="167" spans="7:7" x14ac:dyDescent="0.3">
      <c r="G167" s="11"/>
    </row>
    <row r="168" spans="7:7" x14ac:dyDescent="0.3">
      <c r="G168" s="11"/>
    </row>
    <row r="169" spans="7:7" x14ac:dyDescent="0.3">
      <c r="G169" s="11"/>
    </row>
    <row r="170" spans="7:7" x14ac:dyDescent="0.3">
      <c r="G170" s="11"/>
    </row>
    <row r="171" spans="7:7" x14ac:dyDescent="0.3">
      <c r="G171" s="11"/>
    </row>
    <row r="172" spans="7:7" x14ac:dyDescent="0.3">
      <c r="G172" s="11"/>
    </row>
    <row r="173" spans="7:7" x14ac:dyDescent="0.3">
      <c r="G173" s="11"/>
    </row>
    <row r="174" spans="7:7" x14ac:dyDescent="0.3">
      <c r="G174" s="11"/>
    </row>
    <row r="175" spans="7:7" x14ac:dyDescent="0.3">
      <c r="G175" s="11"/>
    </row>
    <row r="176" spans="7:7" x14ac:dyDescent="0.3">
      <c r="G176" s="11"/>
    </row>
    <row r="177" spans="7:7" x14ac:dyDescent="0.3">
      <c r="G177" s="11"/>
    </row>
    <row r="178" spans="7:7" x14ac:dyDescent="0.3">
      <c r="G178" s="11"/>
    </row>
    <row r="179" spans="7:7" x14ac:dyDescent="0.3">
      <c r="G179" s="11"/>
    </row>
    <row r="180" spans="7:7" x14ac:dyDescent="0.3">
      <c r="G180" s="11"/>
    </row>
    <row r="181" spans="7:7" x14ac:dyDescent="0.3">
      <c r="G181" s="11"/>
    </row>
    <row r="182" spans="7:7" x14ac:dyDescent="0.3">
      <c r="G182" s="11"/>
    </row>
    <row r="183" spans="7:7" x14ac:dyDescent="0.3">
      <c r="G183" s="11"/>
    </row>
    <row r="184" spans="7:7" x14ac:dyDescent="0.3">
      <c r="G184" s="11"/>
    </row>
    <row r="185" spans="7:7" x14ac:dyDescent="0.3">
      <c r="G185" s="11"/>
    </row>
    <row r="186" spans="7:7" x14ac:dyDescent="0.3">
      <c r="G186" s="11"/>
    </row>
    <row r="187" spans="7:7" x14ac:dyDescent="0.3">
      <c r="G187" s="11"/>
    </row>
    <row r="188" spans="7:7" x14ac:dyDescent="0.3">
      <c r="G188" s="11"/>
    </row>
    <row r="189" spans="7:7" x14ac:dyDescent="0.3">
      <c r="G189" s="11"/>
    </row>
    <row r="190" spans="7:7" x14ac:dyDescent="0.3">
      <c r="G190" s="11"/>
    </row>
    <row r="191" spans="7:7" x14ac:dyDescent="0.3">
      <c r="G191" s="11"/>
    </row>
    <row r="192" spans="7:7" x14ac:dyDescent="0.3">
      <c r="G192" s="11"/>
    </row>
    <row r="193" spans="7:7" x14ac:dyDescent="0.3">
      <c r="G193" s="11"/>
    </row>
    <row r="194" spans="7:7" x14ac:dyDescent="0.3">
      <c r="G194" s="11"/>
    </row>
    <row r="195" spans="7:7" x14ac:dyDescent="0.3">
      <c r="G195" s="11"/>
    </row>
    <row r="196" spans="7:7" x14ac:dyDescent="0.3">
      <c r="G196" s="11"/>
    </row>
    <row r="197" spans="7:7" x14ac:dyDescent="0.3">
      <c r="G197" s="11"/>
    </row>
    <row r="198" spans="7:7" x14ac:dyDescent="0.3">
      <c r="G198" s="11"/>
    </row>
    <row r="199" spans="7:7" x14ac:dyDescent="0.3">
      <c r="G199" s="11"/>
    </row>
    <row r="200" spans="7:7" x14ac:dyDescent="0.3">
      <c r="G200" s="11"/>
    </row>
    <row r="201" spans="7:7" x14ac:dyDescent="0.3">
      <c r="G201" s="11"/>
    </row>
    <row r="202" spans="7:7" x14ac:dyDescent="0.3">
      <c r="G202" s="11"/>
    </row>
    <row r="203" spans="7:7" x14ac:dyDescent="0.3">
      <c r="G203" s="11"/>
    </row>
    <row r="204" spans="7:7" x14ac:dyDescent="0.3">
      <c r="G204" s="11"/>
    </row>
    <row r="205" spans="7:7" x14ac:dyDescent="0.3">
      <c r="G205" s="11"/>
    </row>
    <row r="206" spans="7:7" x14ac:dyDescent="0.3">
      <c r="G206" s="11"/>
    </row>
    <row r="207" spans="7:7" x14ac:dyDescent="0.3">
      <c r="G207" s="11"/>
    </row>
    <row r="208" spans="7:7" x14ac:dyDescent="0.3">
      <c r="G208" s="11"/>
    </row>
    <row r="209" spans="7:7" x14ac:dyDescent="0.3">
      <c r="G209" s="11"/>
    </row>
    <row r="210" spans="7:7" x14ac:dyDescent="0.3">
      <c r="G210" s="11"/>
    </row>
    <row r="211" spans="7:7" x14ac:dyDescent="0.3">
      <c r="G211" s="11"/>
    </row>
    <row r="212" spans="7:7" x14ac:dyDescent="0.3">
      <c r="G212" s="11"/>
    </row>
    <row r="213" spans="7:7" x14ac:dyDescent="0.3">
      <c r="G213" s="11"/>
    </row>
    <row r="214" spans="7:7" x14ac:dyDescent="0.3">
      <c r="G214" s="11"/>
    </row>
    <row r="215" spans="7:7" x14ac:dyDescent="0.3">
      <c r="G215" s="11"/>
    </row>
    <row r="216" spans="7:7" x14ac:dyDescent="0.3">
      <c r="G216" s="11"/>
    </row>
    <row r="217" spans="7:7" x14ac:dyDescent="0.3">
      <c r="G217" s="11"/>
    </row>
    <row r="218" spans="7:7" x14ac:dyDescent="0.3">
      <c r="G218" s="11"/>
    </row>
    <row r="219" spans="7:7" x14ac:dyDescent="0.3">
      <c r="G219" s="11"/>
    </row>
    <row r="220" spans="7:7" x14ac:dyDescent="0.3">
      <c r="G220" s="11"/>
    </row>
    <row r="221" spans="7:7" x14ac:dyDescent="0.3">
      <c r="G221" s="11"/>
    </row>
    <row r="222" spans="7:7" x14ac:dyDescent="0.3">
      <c r="G222" s="11"/>
    </row>
    <row r="223" spans="7:7" x14ac:dyDescent="0.3">
      <c r="G223" s="11"/>
    </row>
    <row r="224" spans="7:7" x14ac:dyDescent="0.3">
      <c r="G224" s="11"/>
    </row>
    <row r="225" spans="7:7" x14ac:dyDescent="0.3">
      <c r="G225" s="11"/>
    </row>
    <row r="226" spans="7:7" x14ac:dyDescent="0.3">
      <c r="G226" s="11"/>
    </row>
    <row r="227" spans="7:7" x14ac:dyDescent="0.3">
      <c r="G227" s="11"/>
    </row>
    <row r="228" spans="7:7" x14ac:dyDescent="0.3">
      <c r="G228" s="11"/>
    </row>
    <row r="229" spans="7:7" x14ac:dyDescent="0.3">
      <c r="G229" s="11"/>
    </row>
    <row r="230" spans="7:7" x14ac:dyDescent="0.3">
      <c r="G230" s="11"/>
    </row>
    <row r="231" spans="7:7" x14ac:dyDescent="0.3">
      <c r="G231" s="11"/>
    </row>
    <row r="232" spans="7:7" x14ac:dyDescent="0.3">
      <c r="G232" s="11"/>
    </row>
    <row r="233" spans="7:7" x14ac:dyDescent="0.3">
      <c r="G233" s="11"/>
    </row>
    <row r="234" spans="7:7" x14ac:dyDescent="0.3">
      <c r="G234" s="11"/>
    </row>
    <row r="235" spans="7:7" x14ac:dyDescent="0.3">
      <c r="G235" s="11"/>
    </row>
    <row r="236" spans="7:7" x14ac:dyDescent="0.3">
      <c r="G236" s="11"/>
    </row>
    <row r="237" spans="7:7" x14ac:dyDescent="0.3">
      <c r="G237" s="11"/>
    </row>
    <row r="238" spans="7:7" x14ac:dyDescent="0.3">
      <c r="G238" s="11"/>
    </row>
    <row r="239" spans="7:7" x14ac:dyDescent="0.3">
      <c r="G239" s="11"/>
    </row>
    <row r="240" spans="7:7" x14ac:dyDescent="0.3">
      <c r="G240" s="11"/>
    </row>
    <row r="241" spans="7:7" x14ac:dyDescent="0.3">
      <c r="G241" s="11"/>
    </row>
    <row r="242" spans="7:7" x14ac:dyDescent="0.3">
      <c r="G242" s="11"/>
    </row>
    <row r="243" spans="7:7" x14ac:dyDescent="0.3">
      <c r="G243" s="11"/>
    </row>
    <row r="244" spans="7:7" x14ac:dyDescent="0.3">
      <c r="G244" s="11"/>
    </row>
    <row r="245" spans="7:7" x14ac:dyDescent="0.3">
      <c r="G245" s="11"/>
    </row>
    <row r="246" spans="7:7" x14ac:dyDescent="0.3">
      <c r="G246" s="11"/>
    </row>
    <row r="247" spans="7:7" x14ac:dyDescent="0.3">
      <c r="G247" s="11"/>
    </row>
    <row r="248" spans="7:7" x14ac:dyDescent="0.3">
      <c r="G248" s="11"/>
    </row>
    <row r="249" spans="7:7" x14ac:dyDescent="0.3">
      <c r="G249" s="11"/>
    </row>
    <row r="250" spans="7:7" x14ac:dyDescent="0.3">
      <c r="G250" s="11"/>
    </row>
    <row r="251" spans="7:7" x14ac:dyDescent="0.3">
      <c r="G251" s="11"/>
    </row>
    <row r="252" spans="7:7" x14ac:dyDescent="0.3">
      <c r="G252" s="11"/>
    </row>
    <row r="253" spans="7:7" x14ac:dyDescent="0.3">
      <c r="G253" s="11"/>
    </row>
    <row r="254" spans="7:7" x14ac:dyDescent="0.3">
      <c r="G254" s="11"/>
    </row>
    <row r="255" spans="7:7" x14ac:dyDescent="0.3">
      <c r="G255" s="11"/>
    </row>
    <row r="256" spans="7:7" x14ac:dyDescent="0.3">
      <c r="G256" s="11"/>
    </row>
    <row r="257" spans="7:7" x14ac:dyDescent="0.3">
      <c r="G257" s="11"/>
    </row>
    <row r="258" spans="7:7" x14ac:dyDescent="0.3">
      <c r="G258" s="11"/>
    </row>
    <row r="259" spans="7:7" x14ac:dyDescent="0.3">
      <c r="G259" s="11"/>
    </row>
    <row r="260" spans="7:7" x14ac:dyDescent="0.3">
      <c r="G260" s="11"/>
    </row>
    <row r="261" spans="7:7" x14ac:dyDescent="0.3">
      <c r="G261" s="11"/>
    </row>
    <row r="262" spans="7:7" x14ac:dyDescent="0.3">
      <c r="G262" s="11"/>
    </row>
    <row r="263" spans="7:7" x14ac:dyDescent="0.3">
      <c r="G263" s="11"/>
    </row>
    <row r="264" spans="7:7" x14ac:dyDescent="0.3">
      <c r="G264" s="11"/>
    </row>
    <row r="265" spans="7:7" x14ac:dyDescent="0.3">
      <c r="G265" s="11"/>
    </row>
    <row r="266" spans="7:7" x14ac:dyDescent="0.3">
      <c r="G266" s="11"/>
    </row>
    <row r="267" spans="7:7" x14ac:dyDescent="0.3">
      <c r="G267" s="11"/>
    </row>
    <row r="268" spans="7:7" x14ac:dyDescent="0.3">
      <c r="G268" s="11"/>
    </row>
    <row r="269" spans="7:7" x14ac:dyDescent="0.3">
      <c r="G269" s="11"/>
    </row>
    <row r="270" spans="7:7" x14ac:dyDescent="0.3">
      <c r="G270" s="11"/>
    </row>
    <row r="271" spans="7:7" x14ac:dyDescent="0.3">
      <c r="G271" s="11"/>
    </row>
    <row r="272" spans="7:7" x14ac:dyDescent="0.3">
      <c r="G272" s="11"/>
    </row>
    <row r="273" spans="7:7" x14ac:dyDescent="0.3">
      <c r="G273" s="11"/>
    </row>
    <row r="274" spans="7:7" x14ac:dyDescent="0.3">
      <c r="G274" s="11"/>
    </row>
    <row r="275" spans="7:7" x14ac:dyDescent="0.3">
      <c r="G275" s="11"/>
    </row>
    <row r="276" spans="7:7" x14ac:dyDescent="0.3">
      <c r="G276" s="11"/>
    </row>
    <row r="277" spans="7:7" x14ac:dyDescent="0.3">
      <c r="G277" s="11"/>
    </row>
    <row r="278" spans="7:7" x14ac:dyDescent="0.3">
      <c r="G278" s="11"/>
    </row>
    <row r="279" spans="7:7" x14ac:dyDescent="0.3">
      <c r="G279" s="11"/>
    </row>
    <row r="280" spans="7:7" x14ac:dyDescent="0.3">
      <c r="G280" s="11"/>
    </row>
    <row r="281" spans="7:7" x14ac:dyDescent="0.3">
      <c r="G281" s="11"/>
    </row>
    <row r="282" spans="7:7" x14ac:dyDescent="0.3">
      <c r="G282" s="11"/>
    </row>
    <row r="283" spans="7:7" x14ac:dyDescent="0.3">
      <c r="G283" s="11"/>
    </row>
    <row r="284" spans="7:7" x14ac:dyDescent="0.3">
      <c r="G284" s="11"/>
    </row>
    <row r="285" spans="7:7" x14ac:dyDescent="0.3">
      <c r="G285" s="11"/>
    </row>
    <row r="286" spans="7:7" x14ac:dyDescent="0.3">
      <c r="G286" s="11"/>
    </row>
    <row r="287" spans="7:7" x14ac:dyDescent="0.3">
      <c r="G287" s="11"/>
    </row>
    <row r="288" spans="7:7" x14ac:dyDescent="0.3">
      <c r="G288" s="11"/>
    </row>
    <row r="289" spans="7:7" x14ac:dyDescent="0.3">
      <c r="G289" s="11"/>
    </row>
    <row r="290" spans="7:7" x14ac:dyDescent="0.3">
      <c r="G290" s="11"/>
    </row>
    <row r="291" spans="7:7" x14ac:dyDescent="0.3">
      <c r="G291" s="11"/>
    </row>
    <row r="292" spans="7:7" x14ac:dyDescent="0.3">
      <c r="G292" s="11"/>
    </row>
    <row r="293" spans="7:7" x14ac:dyDescent="0.3">
      <c r="G293" s="11"/>
    </row>
    <row r="294" spans="7:7" x14ac:dyDescent="0.3">
      <c r="G294" s="11"/>
    </row>
    <row r="295" spans="7:7" x14ac:dyDescent="0.3">
      <c r="G295" s="11"/>
    </row>
    <row r="296" spans="7:7" x14ac:dyDescent="0.3">
      <c r="G296" s="11"/>
    </row>
    <row r="297" spans="7:7" x14ac:dyDescent="0.3">
      <c r="G297" s="11"/>
    </row>
    <row r="298" spans="7:7" x14ac:dyDescent="0.3">
      <c r="G298" s="11"/>
    </row>
    <row r="299" spans="7:7" x14ac:dyDescent="0.3">
      <c r="G299" s="11"/>
    </row>
    <row r="300" spans="7:7" x14ac:dyDescent="0.3">
      <c r="G300" s="11"/>
    </row>
    <row r="301" spans="7:7" x14ac:dyDescent="0.3">
      <c r="G301" s="11"/>
    </row>
    <row r="302" spans="7:7" x14ac:dyDescent="0.3">
      <c r="G302" s="11"/>
    </row>
    <row r="303" spans="7:7" x14ac:dyDescent="0.3">
      <c r="G303" s="11"/>
    </row>
    <row r="304" spans="7:7" x14ac:dyDescent="0.3">
      <c r="G304" s="11"/>
    </row>
    <row r="305" spans="7:7" x14ac:dyDescent="0.3">
      <c r="G305" s="11"/>
    </row>
    <row r="306" spans="7:7" x14ac:dyDescent="0.3">
      <c r="G306" s="11"/>
    </row>
    <row r="307" spans="7:7" x14ac:dyDescent="0.3">
      <c r="G307" s="11"/>
    </row>
    <row r="308" spans="7:7" x14ac:dyDescent="0.3">
      <c r="G308" s="11"/>
    </row>
    <row r="309" spans="7:7" x14ac:dyDescent="0.3">
      <c r="G309" s="11"/>
    </row>
    <row r="310" spans="7:7" x14ac:dyDescent="0.3">
      <c r="G310" s="11"/>
    </row>
    <row r="311" spans="7:7" x14ac:dyDescent="0.3">
      <c r="G311" s="11"/>
    </row>
    <row r="312" spans="7:7" x14ac:dyDescent="0.3">
      <c r="G312" s="11"/>
    </row>
    <row r="313" spans="7:7" x14ac:dyDescent="0.3">
      <c r="G313" s="11"/>
    </row>
    <row r="314" spans="7:7" x14ac:dyDescent="0.3">
      <c r="G314" s="11"/>
    </row>
    <row r="315" spans="7:7" x14ac:dyDescent="0.3">
      <c r="G315" s="11"/>
    </row>
    <row r="316" spans="7:7" x14ac:dyDescent="0.3">
      <c r="G316" s="11"/>
    </row>
    <row r="317" spans="7:7" x14ac:dyDescent="0.3">
      <c r="G317" s="11"/>
    </row>
    <row r="318" spans="7:7" x14ac:dyDescent="0.3">
      <c r="G318" s="11"/>
    </row>
    <row r="319" spans="7:7" x14ac:dyDescent="0.3">
      <c r="G319" s="11"/>
    </row>
    <row r="320" spans="7:7" x14ac:dyDescent="0.3">
      <c r="G320" s="11"/>
    </row>
    <row r="321" spans="7:7" x14ac:dyDescent="0.3">
      <c r="G321" s="11"/>
    </row>
    <row r="322" spans="7:7" x14ac:dyDescent="0.3">
      <c r="G322" s="11"/>
    </row>
    <row r="323" spans="7:7" x14ac:dyDescent="0.3">
      <c r="G323" s="11"/>
    </row>
    <row r="324" spans="7:7" x14ac:dyDescent="0.3">
      <c r="G324" s="11"/>
    </row>
    <row r="325" spans="7:7" x14ac:dyDescent="0.3">
      <c r="G325" s="11"/>
    </row>
    <row r="326" spans="7:7" x14ac:dyDescent="0.3">
      <c r="G326" s="11"/>
    </row>
    <row r="327" spans="7:7" x14ac:dyDescent="0.3">
      <c r="G327" s="11"/>
    </row>
    <row r="328" spans="7:7" x14ac:dyDescent="0.3">
      <c r="G328" s="11"/>
    </row>
    <row r="329" spans="7:7" x14ac:dyDescent="0.3">
      <c r="G329" s="11"/>
    </row>
    <row r="330" spans="7:7" x14ac:dyDescent="0.3">
      <c r="G330" s="11"/>
    </row>
    <row r="331" spans="7:7" x14ac:dyDescent="0.3">
      <c r="G331" s="11"/>
    </row>
    <row r="332" spans="7:7" x14ac:dyDescent="0.3">
      <c r="G332" s="11"/>
    </row>
    <row r="333" spans="7:7" x14ac:dyDescent="0.3">
      <c r="G333" s="11"/>
    </row>
    <row r="334" spans="7:7" x14ac:dyDescent="0.3">
      <c r="G334" s="11"/>
    </row>
    <row r="335" spans="7:7" x14ac:dyDescent="0.3">
      <c r="G335" s="11"/>
    </row>
    <row r="336" spans="7:7" x14ac:dyDescent="0.3">
      <c r="G336" s="11"/>
    </row>
    <row r="337" spans="7:7" x14ac:dyDescent="0.3">
      <c r="G337" s="11"/>
    </row>
    <row r="338" spans="7:7" x14ac:dyDescent="0.3">
      <c r="G338" s="11"/>
    </row>
    <row r="339" spans="7:7" x14ac:dyDescent="0.3">
      <c r="G339" s="11"/>
    </row>
    <row r="340" spans="7:7" x14ac:dyDescent="0.3">
      <c r="G340" s="11"/>
    </row>
    <row r="341" spans="7:7" x14ac:dyDescent="0.3">
      <c r="G341" s="11"/>
    </row>
    <row r="342" spans="7:7" x14ac:dyDescent="0.3">
      <c r="G342" s="11"/>
    </row>
    <row r="343" spans="7:7" x14ac:dyDescent="0.3">
      <c r="G343" s="11"/>
    </row>
    <row r="344" spans="7:7" x14ac:dyDescent="0.3">
      <c r="G344" s="11"/>
    </row>
    <row r="345" spans="7:7" x14ac:dyDescent="0.3">
      <c r="G345" s="11"/>
    </row>
    <row r="346" spans="7:7" x14ac:dyDescent="0.3">
      <c r="G346" s="11"/>
    </row>
    <row r="347" spans="7:7" x14ac:dyDescent="0.3">
      <c r="G347" s="11"/>
    </row>
    <row r="348" spans="7:7" x14ac:dyDescent="0.3">
      <c r="G348" s="11"/>
    </row>
    <row r="349" spans="7:7" x14ac:dyDescent="0.3">
      <c r="G349" s="11"/>
    </row>
    <row r="350" spans="7:7" x14ac:dyDescent="0.3">
      <c r="G350" s="11"/>
    </row>
    <row r="351" spans="7:7" x14ac:dyDescent="0.3">
      <c r="G351" s="11"/>
    </row>
    <row r="352" spans="7:7" x14ac:dyDescent="0.3">
      <c r="G352" s="11"/>
    </row>
    <row r="353" spans="7:7" x14ac:dyDescent="0.3">
      <c r="G353" s="11"/>
    </row>
    <row r="354" spans="7:7" x14ac:dyDescent="0.3">
      <c r="G354" s="11"/>
    </row>
    <row r="355" spans="7:7" x14ac:dyDescent="0.3">
      <c r="G355" s="11"/>
    </row>
    <row r="356" spans="7:7" x14ac:dyDescent="0.3">
      <c r="G356" s="11"/>
    </row>
    <row r="357" spans="7:7" x14ac:dyDescent="0.3">
      <c r="G357" s="11"/>
    </row>
    <row r="358" spans="7:7" x14ac:dyDescent="0.3">
      <c r="G358" s="11"/>
    </row>
    <row r="359" spans="7:7" x14ac:dyDescent="0.3">
      <c r="G359" s="11"/>
    </row>
    <row r="360" spans="7:7" x14ac:dyDescent="0.3">
      <c r="G360" s="11"/>
    </row>
    <row r="361" spans="7:7" x14ac:dyDescent="0.3">
      <c r="G361" s="11"/>
    </row>
    <row r="362" spans="7:7" x14ac:dyDescent="0.3">
      <c r="G362" s="11"/>
    </row>
    <row r="363" spans="7:7" x14ac:dyDescent="0.3">
      <c r="G363" s="11"/>
    </row>
    <row r="364" spans="7:7" x14ac:dyDescent="0.3">
      <c r="G364" s="11"/>
    </row>
    <row r="365" spans="7:7" x14ac:dyDescent="0.3">
      <c r="G365" s="11"/>
    </row>
    <row r="366" spans="7:7" x14ac:dyDescent="0.3">
      <c r="G366" s="11"/>
    </row>
    <row r="367" spans="7:7" x14ac:dyDescent="0.3">
      <c r="G367" s="11"/>
    </row>
    <row r="368" spans="7:7" x14ac:dyDescent="0.3">
      <c r="G368" s="11"/>
    </row>
    <row r="369" spans="7:7" x14ac:dyDescent="0.3">
      <c r="G369" s="11"/>
    </row>
    <row r="370" spans="7:7" x14ac:dyDescent="0.3">
      <c r="G370" s="11"/>
    </row>
    <row r="371" spans="7:7" x14ac:dyDescent="0.3">
      <c r="G371" s="11"/>
    </row>
    <row r="372" spans="7:7" x14ac:dyDescent="0.3">
      <c r="G372" s="11"/>
    </row>
    <row r="373" spans="7:7" x14ac:dyDescent="0.3">
      <c r="G373" s="11"/>
    </row>
    <row r="374" spans="7:7" x14ac:dyDescent="0.3">
      <c r="G374" s="11"/>
    </row>
    <row r="375" spans="7:7" x14ac:dyDescent="0.3">
      <c r="G375" s="11"/>
    </row>
    <row r="376" spans="7:7" x14ac:dyDescent="0.3">
      <c r="G376" s="11"/>
    </row>
    <row r="377" spans="7:7" x14ac:dyDescent="0.3">
      <c r="G377" s="11"/>
    </row>
    <row r="378" spans="7:7" x14ac:dyDescent="0.3">
      <c r="G378" s="11"/>
    </row>
    <row r="379" spans="7:7" x14ac:dyDescent="0.3">
      <c r="G379" s="11"/>
    </row>
    <row r="380" spans="7:7" x14ac:dyDescent="0.3">
      <c r="G380" s="11"/>
    </row>
    <row r="381" spans="7:7" x14ac:dyDescent="0.3">
      <c r="G381" s="11"/>
    </row>
    <row r="382" spans="7:7" x14ac:dyDescent="0.3">
      <c r="G382" s="11"/>
    </row>
    <row r="383" spans="7:7" x14ac:dyDescent="0.3">
      <c r="G383" s="11"/>
    </row>
    <row r="384" spans="7:7" x14ac:dyDescent="0.3">
      <c r="G384" s="11"/>
    </row>
    <row r="385" spans="7:7" x14ac:dyDescent="0.3">
      <c r="G385" s="11"/>
    </row>
    <row r="386" spans="7:7" x14ac:dyDescent="0.3">
      <c r="G386" s="11"/>
    </row>
    <row r="387" spans="7:7" x14ac:dyDescent="0.3">
      <c r="G387" s="11"/>
    </row>
    <row r="388" spans="7:7" x14ac:dyDescent="0.3">
      <c r="G388" s="11"/>
    </row>
    <row r="389" spans="7:7" x14ac:dyDescent="0.3">
      <c r="G389" s="11"/>
    </row>
    <row r="390" spans="7:7" x14ac:dyDescent="0.3">
      <c r="G390" s="11"/>
    </row>
    <row r="391" spans="7:7" x14ac:dyDescent="0.3">
      <c r="G391" s="11"/>
    </row>
    <row r="392" spans="7:7" x14ac:dyDescent="0.3">
      <c r="G392" s="11"/>
    </row>
    <row r="393" spans="7:7" x14ac:dyDescent="0.3">
      <c r="G393" s="11"/>
    </row>
    <row r="394" spans="7:7" x14ac:dyDescent="0.3">
      <c r="G394" s="11"/>
    </row>
    <row r="395" spans="7:7" x14ac:dyDescent="0.3">
      <c r="G395" s="11"/>
    </row>
    <row r="396" spans="7:7" x14ac:dyDescent="0.3">
      <c r="G396" s="11"/>
    </row>
    <row r="397" spans="7:7" x14ac:dyDescent="0.3">
      <c r="G397" s="11"/>
    </row>
    <row r="398" spans="7:7" x14ac:dyDescent="0.3">
      <c r="G398" s="11"/>
    </row>
    <row r="399" spans="7:7" x14ac:dyDescent="0.3">
      <c r="G399" s="11"/>
    </row>
    <row r="400" spans="7:7" x14ac:dyDescent="0.3">
      <c r="G400" s="11"/>
    </row>
    <row r="401" spans="7:7" x14ac:dyDescent="0.3">
      <c r="G401" s="11"/>
    </row>
    <row r="402" spans="7:7" x14ac:dyDescent="0.3">
      <c r="G402" s="11"/>
    </row>
    <row r="403" spans="7:7" x14ac:dyDescent="0.3">
      <c r="G403" s="11"/>
    </row>
    <row r="404" spans="7:7" x14ac:dyDescent="0.3">
      <c r="G404" s="11"/>
    </row>
    <row r="405" spans="7:7" x14ac:dyDescent="0.3">
      <c r="G405" s="11"/>
    </row>
    <row r="406" spans="7:7" x14ac:dyDescent="0.3">
      <c r="G406" s="11"/>
    </row>
    <row r="407" spans="7:7" x14ac:dyDescent="0.3">
      <c r="G407" s="11"/>
    </row>
    <row r="408" spans="7:7" x14ac:dyDescent="0.3">
      <c r="G408" s="11"/>
    </row>
    <row r="409" spans="7:7" x14ac:dyDescent="0.3">
      <c r="G409" s="11"/>
    </row>
    <row r="410" spans="7:7" x14ac:dyDescent="0.3">
      <c r="G410" s="11"/>
    </row>
    <row r="411" spans="7:7" x14ac:dyDescent="0.3">
      <c r="G411" s="11"/>
    </row>
    <row r="412" spans="7:7" x14ac:dyDescent="0.3">
      <c r="G412" s="11"/>
    </row>
    <row r="413" spans="7:7" x14ac:dyDescent="0.3">
      <c r="G413" s="11"/>
    </row>
    <row r="414" spans="7:7" x14ac:dyDescent="0.3">
      <c r="G414" s="11"/>
    </row>
    <row r="415" spans="7:7" x14ac:dyDescent="0.3">
      <c r="G415" s="11"/>
    </row>
    <row r="416" spans="7:7" x14ac:dyDescent="0.3">
      <c r="G416" s="11"/>
    </row>
    <row r="417" spans="7:7" x14ac:dyDescent="0.3">
      <c r="G417" s="11"/>
    </row>
    <row r="418" spans="7:7" x14ac:dyDescent="0.3">
      <c r="G418" s="11"/>
    </row>
    <row r="419" spans="7:7" x14ac:dyDescent="0.3">
      <c r="G419" s="11"/>
    </row>
    <row r="420" spans="7:7" x14ac:dyDescent="0.3">
      <c r="G420" s="11"/>
    </row>
    <row r="421" spans="7:7" x14ac:dyDescent="0.3">
      <c r="G421" s="11"/>
    </row>
    <row r="422" spans="7:7" x14ac:dyDescent="0.3">
      <c r="G422" s="11"/>
    </row>
    <row r="423" spans="7:7" x14ac:dyDescent="0.3">
      <c r="G423" s="11"/>
    </row>
    <row r="424" spans="7:7" x14ac:dyDescent="0.3">
      <c r="G424" s="11"/>
    </row>
    <row r="425" spans="7:7" x14ac:dyDescent="0.3">
      <c r="G425" s="11"/>
    </row>
    <row r="426" spans="7:7" x14ac:dyDescent="0.3">
      <c r="G426" s="11"/>
    </row>
    <row r="427" spans="7:7" x14ac:dyDescent="0.3">
      <c r="G427" s="11"/>
    </row>
    <row r="428" spans="7:7" x14ac:dyDescent="0.3">
      <c r="G428" s="11"/>
    </row>
    <row r="429" spans="7:7" x14ac:dyDescent="0.3">
      <c r="G429" s="11"/>
    </row>
    <row r="430" spans="7:7" x14ac:dyDescent="0.3">
      <c r="G430" s="11"/>
    </row>
    <row r="431" spans="7:7" x14ac:dyDescent="0.3">
      <c r="G431" s="11"/>
    </row>
    <row r="432" spans="7:7" x14ac:dyDescent="0.3">
      <c r="G432" s="11"/>
    </row>
    <row r="433" spans="7:7" x14ac:dyDescent="0.3">
      <c r="G433" s="11"/>
    </row>
    <row r="434" spans="7:7" x14ac:dyDescent="0.3">
      <c r="G434" s="11"/>
    </row>
    <row r="435" spans="7:7" x14ac:dyDescent="0.3">
      <c r="G435" s="11"/>
    </row>
    <row r="436" spans="7:7" x14ac:dyDescent="0.3">
      <c r="G436" s="11"/>
    </row>
    <row r="437" spans="7:7" x14ac:dyDescent="0.3">
      <c r="G437" s="11"/>
    </row>
    <row r="438" spans="7:7" x14ac:dyDescent="0.3">
      <c r="G438" s="11"/>
    </row>
    <row r="439" spans="7:7" x14ac:dyDescent="0.3">
      <c r="G439" s="11"/>
    </row>
    <row r="440" spans="7:7" x14ac:dyDescent="0.3">
      <c r="G440" s="11"/>
    </row>
    <row r="441" spans="7:7" x14ac:dyDescent="0.3">
      <c r="G441" s="11"/>
    </row>
    <row r="442" spans="7:7" x14ac:dyDescent="0.3">
      <c r="G442" s="11"/>
    </row>
    <row r="443" spans="7:7" x14ac:dyDescent="0.3">
      <c r="G443" s="11"/>
    </row>
    <row r="444" spans="7:7" x14ac:dyDescent="0.3">
      <c r="G444" s="11"/>
    </row>
    <row r="445" spans="7:7" x14ac:dyDescent="0.3">
      <c r="G445" s="11"/>
    </row>
    <row r="446" spans="7:7" x14ac:dyDescent="0.3">
      <c r="G446" s="11"/>
    </row>
    <row r="447" spans="7:7" x14ac:dyDescent="0.3">
      <c r="G447" s="11"/>
    </row>
    <row r="448" spans="7:7" x14ac:dyDescent="0.3">
      <c r="G448" s="11"/>
    </row>
    <row r="449" spans="7:7" x14ac:dyDescent="0.3">
      <c r="G449" s="11"/>
    </row>
    <row r="450" spans="7:7" x14ac:dyDescent="0.3">
      <c r="G450" s="11"/>
    </row>
    <row r="451" spans="7:7" x14ac:dyDescent="0.3">
      <c r="G451" s="11"/>
    </row>
    <row r="452" spans="7:7" x14ac:dyDescent="0.3">
      <c r="G452" s="11"/>
    </row>
    <row r="453" spans="7:7" x14ac:dyDescent="0.3">
      <c r="G453" s="11"/>
    </row>
    <row r="454" spans="7:7" x14ac:dyDescent="0.3">
      <c r="G454" s="11"/>
    </row>
    <row r="455" spans="7:7" x14ac:dyDescent="0.3">
      <c r="G455" s="11"/>
    </row>
    <row r="456" spans="7:7" x14ac:dyDescent="0.3">
      <c r="G456" s="11"/>
    </row>
    <row r="457" spans="7:7" x14ac:dyDescent="0.3">
      <c r="G457" s="11"/>
    </row>
    <row r="458" spans="7:7" x14ac:dyDescent="0.3">
      <c r="G458" s="11"/>
    </row>
    <row r="459" spans="7:7" x14ac:dyDescent="0.3">
      <c r="G459" s="11"/>
    </row>
    <row r="460" spans="7:7" x14ac:dyDescent="0.3">
      <c r="G460" s="11"/>
    </row>
    <row r="461" spans="7:7" x14ac:dyDescent="0.3">
      <c r="G461" s="11"/>
    </row>
    <row r="462" spans="7:7" x14ac:dyDescent="0.3">
      <c r="G462" s="11"/>
    </row>
    <row r="463" spans="7:7" x14ac:dyDescent="0.3">
      <c r="G463" s="11"/>
    </row>
    <row r="464" spans="7:7" x14ac:dyDescent="0.3">
      <c r="G464" s="11"/>
    </row>
    <row r="465" spans="7:7" x14ac:dyDescent="0.3">
      <c r="G465" s="11"/>
    </row>
    <row r="466" spans="7:7" x14ac:dyDescent="0.3">
      <c r="G466" s="11"/>
    </row>
    <row r="467" spans="7:7" x14ac:dyDescent="0.3">
      <c r="G467" s="11"/>
    </row>
    <row r="468" spans="7:7" x14ac:dyDescent="0.3">
      <c r="G468" s="11"/>
    </row>
    <row r="469" spans="7:7" x14ac:dyDescent="0.3">
      <c r="G469" s="11"/>
    </row>
    <row r="470" spans="7:7" x14ac:dyDescent="0.3">
      <c r="G470" s="11"/>
    </row>
    <row r="471" spans="7:7" x14ac:dyDescent="0.3">
      <c r="G471" s="11"/>
    </row>
    <row r="472" spans="7:7" x14ac:dyDescent="0.3">
      <c r="G472" s="11"/>
    </row>
    <row r="473" spans="7:7" x14ac:dyDescent="0.3">
      <c r="G473" s="11"/>
    </row>
    <row r="474" spans="7:7" x14ac:dyDescent="0.3">
      <c r="G474" s="11"/>
    </row>
    <row r="475" spans="7:7" x14ac:dyDescent="0.3">
      <c r="G475" s="11"/>
    </row>
    <row r="476" spans="7:7" x14ac:dyDescent="0.3">
      <c r="G476" s="11"/>
    </row>
    <row r="477" spans="7:7" x14ac:dyDescent="0.3">
      <c r="G477" s="11"/>
    </row>
    <row r="478" spans="7:7" x14ac:dyDescent="0.3">
      <c r="G478" s="11"/>
    </row>
    <row r="479" spans="7:7" x14ac:dyDescent="0.3">
      <c r="G479" s="11"/>
    </row>
    <row r="480" spans="7:7" x14ac:dyDescent="0.3">
      <c r="G480" s="11"/>
    </row>
    <row r="481" spans="7:7" x14ac:dyDescent="0.3">
      <c r="G481" s="11"/>
    </row>
    <row r="482" spans="7:7" x14ac:dyDescent="0.3">
      <c r="G482" s="11"/>
    </row>
    <row r="483" spans="7:7" x14ac:dyDescent="0.3">
      <c r="G483" s="11"/>
    </row>
    <row r="484" spans="7:7" x14ac:dyDescent="0.3">
      <c r="G484" s="11"/>
    </row>
    <row r="485" spans="7:7" x14ac:dyDescent="0.3">
      <c r="G485" s="11"/>
    </row>
    <row r="486" spans="7:7" x14ac:dyDescent="0.3">
      <c r="G486" s="11"/>
    </row>
    <row r="487" spans="7:7" x14ac:dyDescent="0.3">
      <c r="G487" s="11"/>
    </row>
    <row r="488" spans="7:7" x14ac:dyDescent="0.3">
      <c r="G488" s="11"/>
    </row>
    <row r="489" spans="7:7" x14ac:dyDescent="0.3">
      <c r="G489" s="11"/>
    </row>
    <row r="490" spans="7:7" x14ac:dyDescent="0.3">
      <c r="G490" s="11"/>
    </row>
    <row r="491" spans="7:7" x14ac:dyDescent="0.3">
      <c r="G491" s="11"/>
    </row>
    <row r="492" spans="7:7" x14ac:dyDescent="0.3">
      <c r="G492" s="11"/>
    </row>
    <row r="493" spans="7:7" x14ac:dyDescent="0.3">
      <c r="G493" s="11"/>
    </row>
    <row r="494" spans="7:7" x14ac:dyDescent="0.3">
      <c r="G494" s="11"/>
    </row>
    <row r="495" spans="7:7" x14ac:dyDescent="0.3">
      <c r="G495" s="11"/>
    </row>
    <row r="496" spans="7:7" x14ac:dyDescent="0.3">
      <c r="G496" s="11"/>
    </row>
    <row r="497" spans="7:7" x14ac:dyDescent="0.3">
      <c r="G497" s="11"/>
    </row>
    <row r="498" spans="7:7" x14ac:dyDescent="0.3">
      <c r="G498" s="11"/>
    </row>
    <row r="499" spans="7:7" x14ac:dyDescent="0.3">
      <c r="G499" s="11"/>
    </row>
    <row r="500" spans="7:7" x14ac:dyDescent="0.3">
      <c r="G500" s="11"/>
    </row>
    <row r="501" spans="7:7" x14ac:dyDescent="0.3">
      <c r="G501" s="11"/>
    </row>
    <row r="502" spans="7:7" x14ac:dyDescent="0.3">
      <c r="G502" s="11"/>
    </row>
    <row r="503" spans="7:7" x14ac:dyDescent="0.3">
      <c r="G503" s="11"/>
    </row>
    <row r="504" spans="7:7" x14ac:dyDescent="0.3">
      <c r="G504" s="11"/>
    </row>
    <row r="505" spans="7:7" x14ac:dyDescent="0.3">
      <c r="G505" s="11"/>
    </row>
    <row r="506" spans="7:7" x14ac:dyDescent="0.3">
      <c r="G506" s="11"/>
    </row>
    <row r="507" spans="7:7" x14ac:dyDescent="0.3">
      <c r="G507" s="11"/>
    </row>
    <row r="508" spans="7:7" x14ac:dyDescent="0.3">
      <c r="G508" s="11"/>
    </row>
    <row r="509" spans="7:7" x14ac:dyDescent="0.3">
      <c r="G509" s="11"/>
    </row>
    <row r="510" spans="7:7" x14ac:dyDescent="0.3">
      <c r="G510" s="11"/>
    </row>
    <row r="511" spans="7:7" x14ac:dyDescent="0.3">
      <c r="G511" s="11"/>
    </row>
    <row r="512" spans="7:7" x14ac:dyDescent="0.3">
      <c r="G512" s="11"/>
    </row>
    <row r="513" spans="7:7" x14ac:dyDescent="0.3">
      <c r="G513" s="11"/>
    </row>
    <row r="514" spans="7:7" x14ac:dyDescent="0.3">
      <c r="G514" s="11"/>
    </row>
    <row r="515" spans="7:7" x14ac:dyDescent="0.3">
      <c r="G515" s="11"/>
    </row>
    <row r="516" spans="7:7" x14ac:dyDescent="0.3">
      <c r="G516" s="11"/>
    </row>
    <row r="517" spans="7:7" x14ac:dyDescent="0.3">
      <c r="G517" s="11"/>
    </row>
    <row r="518" spans="7:7" x14ac:dyDescent="0.3">
      <c r="G518" s="11"/>
    </row>
    <row r="519" spans="7:7" x14ac:dyDescent="0.3">
      <c r="G519" s="11"/>
    </row>
    <row r="520" spans="7:7" x14ac:dyDescent="0.3">
      <c r="G520" s="11"/>
    </row>
    <row r="521" spans="7:7" x14ac:dyDescent="0.3">
      <c r="G521" s="11"/>
    </row>
    <row r="522" spans="7:7" x14ac:dyDescent="0.3">
      <c r="G522" s="11"/>
    </row>
    <row r="523" spans="7:7" x14ac:dyDescent="0.3">
      <c r="G523" s="11"/>
    </row>
    <row r="524" spans="7:7" x14ac:dyDescent="0.3">
      <c r="G524" s="11"/>
    </row>
    <row r="525" spans="7:7" x14ac:dyDescent="0.3">
      <c r="G525" s="11"/>
    </row>
    <row r="526" spans="7:7" x14ac:dyDescent="0.3">
      <c r="G526" s="11"/>
    </row>
    <row r="527" spans="7:7" x14ac:dyDescent="0.3">
      <c r="G527" s="11"/>
    </row>
    <row r="528" spans="7:7" x14ac:dyDescent="0.3">
      <c r="G528" s="11"/>
    </row>
    <row r="529" spans="7:7" x14ac:dyDescent="0.3">
      <c r="G529" s="11"/>
    </row>
    <row r="530" spans="7:7" x14ac:dyDescent="0.3">
      <c r="G530" s="11"/>
    </row>
    <row r="531" spans="7:7" x14ac:dyDescent="0.3">
      <c r="G531" s="11"/>
    </row>
    <row r="532" spans="7:7" x14ac:dyDescent="0.3">
      <c r="G532" s="11"/>
    </row>
    <row r="533" spans="7:7" x14ac:dyDescent="0.3">
      <c r="G533" s="11"/>
    </row>
    <row r="534" spans="7:7" x14ac:dyDescent="0.3">
      <c r="G534" s="11"/>
    </row>
    <row r="535" spans="7:7" x14ac:dyDescent="0.3">
      <c r="G535" s="11"/>
    </row>
    <row r="536" spans="7:7" x14ac:dyDescent="0.3">
      <c r="G536" s="11"/>
    </row>
    <row r="537" spans="7:7" x14ac:dyDescent="0.3">
      <c r="G537" s="11"/>
    </row>
    <row r="538" spans="7:7" x14ac:dyDescent="0.3">
      <c r="G538" s="11"/>
    </row>
    <row r="539" spans="7:7" x14ac:dyDescent="0.3">
      <c r="G539" s="11"/>
    </row>
    <row r="540" spans="7:7" x14ac:dyDescent="0.3">
      <c r="G540" s="11"/>
    </row>
    <row r="541" spans="7:7" x14ac:dyDescent="0.3">
      <c r="G541" s="11"/>
    </row>
    <row r="542" spans="7:7" x14ac:dyDescent="0.3">
      <c r="G542" s="11"/>
    </row>
    <row r="543" spans="7:7" x14ac:dyDescent="0.3">
      <c r="G543" s="11"/>
    </row>
    <row r="544" spans="7:7" x14ac:dyDescent="0.3">
      <c r="G544" s="11"/>
    </row>
    <row r="545" spans="7:7" x14ac:dyDescent="0.3">
      <c r="G545" s="11"/>
    </row>
    <row r="546" spans="7:7" x14ac:dyDescent="0.3">
      <c r="G546" s="11"/>
    </row>
    <row r="547" spans="7:7" x14ac:dyDescent="0.3">
      <c r="G547" s="11"/>
    </row>
    <row r="548" spans="7:7" x14ac:dyDescent="0.3">
      <c r="G548" s="11"/>
    </row>
    <row r="549" spans="7:7" x14ac:dyDescent="0.3">
      <c r="G549" s="11"/>
    </row>
    <row r="550" spans="7:7" x14ac:dyDescent="0.3">
      <c r="G550" s="11"/>
    </row>
    <row r="551" spans="7:7" x14ac:dyDescent="0.3">
      <c r="G551" s="11"/>
    </row>
    <row r="552" spans="7:7" x14ac:dyDescent="0.3">
      <c r="G552" s="11"/>
    </row>
    <row r="553" spans="7:7" x14ac:dyDescent="0.3">
      <c r="G553" s="11"/>
    </row>
    <row r="554" spans="7:7" x14ac:dyDescent="0.3">
      <c r="G554" s="11"/>
    </row>
    <row r="555" spans="7:7" x14ac:dyDescent="0.3">
      <c r="G555" s="11"/>
    </row>
    <row r="556" spans="7:7" x14ac:dyDescent="0.3">
      <c r="G556" s="11"/>
    </row>
    <row r="557" spans="7:7" x14ac:dyDescent="0.3">
      <c r="G557" s="11"/>
    </row>
    <row r="558" spans="7:7" x14ac:dyDescent="0.3">
      <c r="G558" s="11"/>
    </row>
    <row r="559" spans="7:7" x14ac:dyDescent="0.3">
      <c r="G559" s="11"/>
    </row>
    <row r="560" spans="7:7" x14ac:dyDescent="0.3">
      <c r="G560" s="11"/>
    </row>
    <row r="561" spans="7:7" x14ac:dyDescent="0.3">
      <c r="G561" s="11"/>
    </row>
    <row r="562" spans="7:7" x14ac:dyDescent="0.3">
      <c r="G562" s="11"/>
    </row>
    <row r="563" spans="7:7" x14ac:dyDescent="0.3">
      <c r="G563" s="11"/>
    </row>
    <row r="564" spans="7:7" x14ac:dyDescent="0.3">
      <c r="G564" s="11"/>
    </row>
    <row r="565" spans="7:7" x14ac:dyDescent="0.3">
      <c r="G565" s="11"/>
    </row>
    <row r="566" spans="7:7" x14ac:dyDescent="0.3">
      <c r="G566" s="11"/>
    </row>
    <row r="567" spans="7:7" x14ac:dyDescent="0.3">
      <c r="G567" s="11"/>
    </row>
    <row r="568" spans="7:7" x14ac:dyDescent="0.3">
      <c r="G568" s="11"/>
    </row>
    <row r="569" spans="7:7" x14ac:dyDescent="0.3">
      <c r="G569" s="11"/>
    </row>
    <row r="570" spans="7:7" x14ac:dyDescent="0.3">
      <c r="G570" s="11"/>
    </row>
    <row r="571" spans="7:7" x14ac:dyDescent="0.3">
      <c r="G571" s="11"/>
    </row>
    <row r="572" spans="7:7" x14ac:dyDescent="0.3">
      <c r="G572" s="11"/>
    </row>
    <row r="573" spans="7:7" x14ac:dyDescent="0.3">
      <c r="G573" s="11"/>
    </row>
    <row r="574" spans="7:7" x14ac:dyDescent="0.3">
      <c r="G574" s="11"/>
    </row>
    <row r="575" spans="7:7" x14ac:dyDescent="0.3">
      <c r="G575" s="11"/>
    </row>
    <row r="576" spans="7:7" x14ac:dyDescent="0.3">
      <c r="G576" s="11"/>
    </row>
    <row r="577" spans="7:7" x14ac:dyDescent="0.3">
      <c r="G577" s="11"/>
    </row>
    <row r="578" spans="7:7" x14ac:dyDescent="0.3">
      <c r="G578" s="11"/>
    </row>
    <row r="579" spans="7:7" x14ac:dyDescent="0.3">
      <c r="G579" s="11"/>
    </row>
    <row r="580" spans="7:7" x14ac:dyDescent="0.3">
      <c r="G580" s="11"/>
    </row>
    <row r="581" spans="7:7" x14ac:dyDescent="0.3">
      <c r="G581" s="11"/>
    </row>
    <row r="582" spans="7:7" x14ac:dyDescent="0.3">
      <c r="G582" s="11"/>
    </row>
    <row r="583" spans="7:7" x14ac:dyDescent="0.3">
      <c r="G583" s="11"/>
    </row>
    <row r="584" spans="7:7" x14ac:dyDescent="0.3">
      <c r="G584" s="11"/>
    </row>
    <row r="585" spans="7:7" x14ac:dyDescent="0.3">
      <c r="G585" s="11"/>
    </row>
    <row r="586" spans="7:7" x14ac:dyDescent="0.3">
      <c r="G586" s="11"/>
    </row>
    <row r="587" spans="7:7" x14ac:dyDescent="0.3">
      <c r="G587" s="11"/>
    </row>
    <row r="588" spans="7:7" x14ac:dyDescent="0.3">
      <c r="G588" s="11"/>
    </row>
    <row r="589" spans="7:7" x14ac:dyDescent="0.3">
      <c r="G589" s="11"/>
    </row>
    <row r="590" spans="7:7" x14ac:dyDescent="0.3">
      <c r="G590" s="11"/>
    </row>
    <row r="591" spans="7:7" x14ac:dyDescent="0.3">
      <c r="G591" s="11"/>
    </row>
    <row r="592" spans="7:7" x14ac:dyDescent="0.3">
      <c r="G592" s="11"/>
    </row>
    <row r="593" spans="7:7" x14ac:dyDescent="0.3">
      <c r="G593" s="11"/>
    </row>
    <row r="594" spans="7:7" x14ac:dyDescent="0.3">
      <c r="G594" s="11"/>
    </row>
    <row r="595" spans="7:7" x14ac:dyDescent="0.3">
      <c r="G595" s="11"/>
    </row>
    <row r="596" spans="7:7" x14ac:dyDescent="0.3">
      <c r="G596" s="11"/>
    </row>
    <row r="597" spans="7:7" x14ac:dyDescent="0.3">
      <c r="G597" s="11"/>
    </row>
    <row r="598" spans="7:7" x14ac:dyDescent="0.3">
      <c r="G598" s="11"/>
    </row>
    <row r="599" spans="7:7" x14ac:dyDescent="0.3">
      <c r="G599" s="11"/>
    </row>
    <row r="600" spans="7:7" x14ac:dyDescent="0.3">
      <c r="G600" s="11"/>
    </row>
    <row r="601" spans="7:7" x14ac:dyDescent="0.3">
      <c r="G601" s="11"/>
    </row>
    <row r="602" spans="7:7" x14ac:dyDescent="0.3">
      <c r="G602" s="11"/>
    </row>
    <row r="603" spans="7:7" x14ac:dyDescent="0.3">
      <c r="G603" s="11"/>
    </row>
    <row r="604" spans="7:7" x14ac:dyDescent="0.3">
      <c r="G604" s="11"/>
    </row>
    <row r="605" spans="7:7" x14ac:dyDescent="0.3">
      <c r="G605" s="11"/>
    </row>
    <row r="606" spans="7:7" x14ac:dyDescent="0.3">
      <c r="G606" s="11"/>
    </row>
    <row r="607" spans="7:7" x14ac:dyDescent="0.3">
      <c r="G607" s="11"/>
    </row>
    <row r="608" spans="7:7" x14ac:dyDescent="0.3">
      <c r="G608" s="11"/>
    </row>
    <row r="609" spans="7:7" x14ac:dyDescent="0.3">
      <c r="G609" s="11"/>
    </row>
    <row r="610" spans="7:7" x14ac:dyDescent="0.3">
      <c r="G610" s="11"/>
    </row>
    <row r="611" spans="7:7" x14ac:dyDescent="0.3">
      <c r="G611" s="11"/>
    </row>
    <row r="612" spans="7:7" x14ac:dyDescent="0.3">
      <c r="G612" s="11"/>
    </row>
    <row r="613" spans="7:7" x14ac:dyDescent="0.3">
      <c r="G613" s="11"/>
    </row>
    <row r="614" spans="7:7" x14ac:dyDescent="0.3">
      <c r="G614" s="11"/>
    </row>
    <row r="615" spans="7:7" x14ac:dyDescent="0.3">
      <c r="G615" s="11"/>
    </row>
    <row r="616" spans="7:7" x14ac:dyDescent="0.3">
      <c r="G616" s="11"/>
    </row>
    <row r="617" spans="7:7" x14ac:dyDescent="0.3">
      <c r="G617" s="11"/>
    </row>
    <row r="618" spans="7:7" x14ac:dyDescent="0.3">
      <c r="G618" s="11"/>
    </row>
    <row r="619" spans="7:7" x14ac:dyDescent="0.3">
      <c r="G619" s="11"/>
    </row>
    <row r="620" spans="7:7" x14ac:dyDescent="0.3">
      <c r="G620" s="11"/>
    </row>
    <row r="621" spans="7:7" x14ac:dyDescent="0.3">
      <c r="G621" s="11"/>
    </row>
    <row r="622" spans="7:7" x14ac:dyDescent="0.3">
      <c r="G622" s="11"/>
    </row>
    <row r="623" spans="7:7" x14ac:dyDescent="0.3">
      <c r="G623" s="11"/>
    </row>
    <row r="624" spans="7:7" x14ac:dyDescent="0.3">
      <c r="G624" s="11"/>
    </row>
    <row r="625" spans="7:7" x14ac:dyDescent="0.3">
      <c r="G625" s="11"/>
    </row>
    <row r="626" spans="7:7" x14ac:dyDescent="0.3">
      <c r="G626" s="11"/>
    </row>
    <row r="627" spans="7:7" x14ac:dyDescent="0.3">
      <c r="G627" s="11"/>
    </row>
    <row r="628" spans="7:7" x14ac:dyDescent="0.3">
      <c r="G628" s="11"/>
    </row>
    <row r="629" spans="7:7" x14ac:dyDescent="0.3">
      <c r="G629" s="11"/>
    </row>
    <row r="630" spans="7:7" x14ac:dyDescent="0.3">
      <c r="G630" s="11"/>
    </row>
    <row r="631" spans="7:7" x14ac:dyDescent="0.3">
      <c r="G631" s="11"/>
    </row>
    <row r="632" spans="7:7" x14ac:dyDescent="0.3">
      <c r="G632" s="11"/>
    </row>
    <row r="633" spans="7:7" x14ac:dyDescent="0.3">
      <c r="G633" s="11"/>
    </row>
    <row r="634" spans="7:7" x14ac:dyDescent="0.3">
      <c r="G634" s="11"/>
    </row>
    <row r="635" spans="7:7" x14ac:dyDescent="0.3">
      <c r="G635" s="11"/>
    </row>
    <row r="636" spans="7:7" x14ac:dyDescent="0.3">
      <c r="G636" s="11"/>
    </row>
    <row r="637" spans="7:7" x14ac:dyDescent="0.3">
      <c r="G637" s="11"/>
    </row>
    <row r="638" spans="7:7" x14ac:dyDescent="0.3">
      <c r="G638" s="11"/>
    </row>
    <row r="639" spans="7:7" x14ac:dyDescent="0.3">
      <c r="G639" s="11"/>
    </row>
    <row r="640" spans="7:7" x14ac:dyDescent="0.3">
      <c r="G640" s="11"/>
    </row>
    <row r="641" spans="7:7" x14ac:dyDescent="0.3">
      <c r="G641" s="11"/>
    </row>
    <row r="642" spans="7:7" x14ac:dyDescent="0.3">
      <c r="G642" s="11"/>
    </row>
    <row r="643" spans="7:7" x14ac:dyDescent="0.3">
      <c r="G643" s="11"/>
    </row>
    <row r="644" spans="7:7" x14ac:dyDescent="0.3">
      <c r="G644" s="11"/>
    </row>
    <row r="645" spans="7:7" x14ac:dyDescent="0.3">
      <c r="G645" s="11"/>
    </row>
    <row r="646" spans="7:7" x14ac:dyDescent="0.3">
      <c r="G646" s="11"/>
    </row>
    <row r="647" spans="7:7" x14ac:dyDescent="0.3">
      <c r="G647" s="11"/>
    </row>
    <row r="648" spans="7:7" x14ac:dyDescent="0.3">
      <c r="G648" s="11"/>
    </row>
    <row r="649" spans="7:7" x14ac:dyDescent="0.3">
      <c r="G649" s="11"/>
    </row>
    <row r="650" spans="7:7" x14ac:dyDescent="0.3">
      <c r="G650" s="11"/>
    </row>
    <row r="651" spans="7:7" x14ac:dyDescent="0.3">
      <c r="G651" s="11"/>
    </row>
    <row r="652" spans="7:7" x14ac:dyDescent="0.3">
      <c r="G652" s="11"/>
    </row>
    <row r="653" spans="7:7" x14ac:dyDescent="0.3">
      <c r="G653" s="11"/>
    </row>
    <row r="654" spans="7:7" x14ac:dyDescent="0.3">
      <c r="G654" s="11"/>
    </row>
    <row r="655" spans="7:7" x14ac:dyDescent="0.3">
      <c r="G655" s="11"/>
    </row>
    <row r="656" spans="7:7" x14ac:dyDescent="0.3">
      <c r="G656" s="11"/>
    </row>
    <row r="657" spans="7:7" x14ac:dyDescent="0.3">
      <c r="G657" s="11"/>
    </row>
    <row r="658" spans="7:7" x14ac:dyDescent="0.3">
      <c r="G658" s="11"/>
    </row>
    <row r="659" spans="7:7" x14ac:dyDescent="0.3">
      <c r="G659" s="11"/>
    </row>
    <row r="660" spans="7:7" x14ac:dyDescent="0.3">
      <c r="G660" s="11"/>
    </row>
    <row r="661" spans="7:7" x14ac:dyDescent="0.3">
      <c r="G661" s="11"/>
    </row>
    <row r="662" spans="7:7" x14ac:dyDescent="0.3">
      <c r="G662" s="11"/>
    </row>
    <row r="663" spans="7:7" x14ac:dyDescent="0.3">
      <c r="G663" s="11"/>
    </row>
    <row r="664" spans="7:7" x14ac:dyDescent="0.3">
      <c r="G664" s="11"/>
    </row>
    <row r="665" spans="7:7" x14ac:dyDescent="0.3">
      <c r="G665" s="11"/>
    </row>
    <row r="666" spans="7:7" x14ac:dyDescent="0.3">
      <c r="G666" s="11"/>
    </row>
    <row r="667" spans="7:7" x14ac:dyDescent="0.3">
      <c r="G667" s="11"/>
    </row>
    <row r="668" spans="7:7" x14ac:dyDescent="0.3">
      <c r="G668" s="11"/>
    </row>
    <row r="669" spans="7:7" x14ac:dyDescent="0.3">
      <c r="G669" s="11"/>
    </row>
    <row r="670" spans="7:7" x14ac:dyDescent="0.3">
      <c r="G670" s="11"/>
    </row>
    <row r="671" spans="7:7" x14ac:dyDescent="0.3">
      <c r="G671" s="11"/>
    </row>
    <row r="672" spans="7:7" x14ac:dyDescent="0.3">
      <c r="G672" s="11"/>
    </row>
    <row r="673" spans="7:7" x14ac:dyDescent="0.3">
      <c r="G673" s="11"/>
    </row>
    <row r="674" spans="7:7" x14ac:dyDescent="0.3">
      <c r="G674" s="11"/>
    </row>
    <row r="675" spans="7:7" x14ac:dyDescent="0.3">
      <c r="G675" s="11"/>
    </row>
    <row r="676" spans="7:7" x14ac:dyDescent="0.3">
      <c r="G676" s="11"/>
    </row>
    <row r="677" spans="7:7" x14ac:dyDescent="0.3">
      <c r="G677" s="11"/>
    </row>
    <row r="678" spans="7:7" x14ac:dyDescent="0.3">
      <c r="G678" s="11"/>
    </row>
    <row r="679" spans="7:7" x14ac:dyDescent="0.3">
      <c r="G679" s="11"/>
    </row>
    <row r="680" spans="7:7" x14ac:dyDescent="0.3">
      <c r="G680" s="11"/>
    </row>
    <row r="681" spans="7:7" x14ac:dyDescent="0.3">
      <c r="G681" s="11"/>
    </row>
    <row r="682" spans="7:7" x14ac:dyDescent="0.3">
      <c r="G682" s="11"/>
    </row>
    <row r="683" spans="7:7" x14ac:dyDescent="0.3">
      <c r="G683" s="11"/>
    </row>
    <row r="684" spans="7:7" x14ac:dyDescent="0.3">
      <c r="G684" s="11"/>
    </row>
    <row r="685" spans="7:7" x14ac:dyDescent="0.3">
      <c r="G685" s="11"/>
    </row>
    <row r="686" spans="7:7" x14ac:dyDescent="0.3">
      <c r="G686" s="11"/>
    </row>
    <row r="687" spans="7:7" x14ac:dyDescent="0.3">
      <c r="G687" s="11"/>
    </row>
    <row r="688" spans="7:7" x14ac:dyDescent="0.3">
      <c r="G688" s="11"/>
    </row>
    <row r="689" spans="7:7" x14ac:dyDescent="0.3">
      <c r="G689" s="11"/>
    </row>
    <row r="690" spans="7:7" x14ac:dyDescent="0.3">
      <c r="G690" s="11"/>
    </row>
    <row r="691" spans="7:7" x14ac:dyDescent="0.3">
      <c r="G691" s="11"/>
    </row>
    <row r="692" spans="7:7" x14ac:dyDescent="0.3">
      <c r="G692" s="11"/>
    </row>
    <row r="693" spans="7:7" x14ac:dyDescent="0.3">
      <c r="G693" s="11"/>
    </row>
    <row r="694" spans="7:7" x14ac:dyDescent="0.3">
      <c r="G694" s="11"/>
    </row>
    <row r="695" spans="7:7" x14ac:dyDescent="0.3">
      <c r="G695" s="11"/>
    </row>
    <row r="696" spans="7:7" x14ac:dyDescent="0.3">
      <c r="G696" s="11"/>
    </row>
    <row r="697" spans="7:7" x14ac:dyDescent="0.3">
      <c r="G697" s="11"/>
    </row>
    <row r="698" spans="7:7" x14ac:dyDescent="0.3">
      <c r="G698" s="11"/>
    </row>
    <row r="699" spans="7:7" x14ac:dyDescent="0.3">
      <c r="G699" s="11"/>
    </row>
    <row r="700" spans="7:7" x14ac:dyDescent="0.3">
      <c r="G700" s="11"/>
    </row>
    <row r="701" spans="7:7" x14ac:dyDescent="0.3">
      <c r="G701" s="11"/>
    </row>
    <row r="702" spans="7:7" x14ac:dyDescent="0.3">
      <c r="G702" s="11"/>
    </row>
    <row r="703" spans="7:7" x14ac:dyDescent="0.3">
      <c r="G703" s="11"/>
    </row>
    <row r="704" spans="7:7" x14ac:dyDescent="0.3">
      <c r="G704" s="11"/>
    </row>
    <row r="705" spans="7:7" x14ac:dyDescent="0.3">
      <c r="G705" s="11"/>
    </row>
    <row r="706" spans="7:7" x14ac:dyDescent="0.3">
      <c r="G706" s="11"/>
    </row>
    <row r="707" spans="7:7" x14ac:dyDescent="0.3">
      <c r="G707" s="11"/>
    </row>
    <row r="708" spans="7:7" x14ac:dyDescent="0.3">
      <c r="G708" s="11"/>
    </row>
    <row r="709" spans="7:7" x14ac:dyDescent="0.3">
      <c r="G709" s="11"/>
    </row>
    <row r="710" spans="7:7" x14ac:dyDescent="0.3">
      <c r="G710" s="11"/>
    </row>
    <row r="711" spans="7:7" x14ac:dyDescent="0.3">
      <c r="G711" s="11"/>
    </row>
    <row r="712" spans="7:7" x14ac:dyDescent="0.3">
      <c r="G712" s="11"/>
    </row>
    <row r="713" spans="7:7" x14ac:dyDescent="0.3">
      <c r="G713" s="11"/>
    </row>
    <row r="714" spans="7:7" x14ac:dyDescent="0.3">
      <c r="G714" s="11"/>
    </row>
    <row r="715" spans="7:7" x14ac:dyDescent="0.3">
      <c r="G715" s="11"/>
    </row>
    <row r="716" spans="7:7" x14ac:dyDescent="0.3">
      <c r="G716" s="11"/>
    </row>
    <row r="717" spans="7:7" x14ac:dyDescent="0.3">
      <c r="G717" s="11"/>
    </row>
    <row r="718" spans="7:7" x14ac:dyDescent="0.3">
      <c r="G718" s="11"/>
    </row>
    <row r="719" spans="7:7" x14ac:dyDescent="0.3">
      <c r="G719" s="11"/>
    </row>
    <row r="720" spans="7:7" x14ac:dyDescent="0.3">
      <c r="G720" s="11"/>
    </row>
    <row r="721" spans="7:7" x14ac:dyDescent="0.3">
      <c r="G721" s="11"/>
    </row>
    <row r="722" spans="7:7" x14ac:dyDescent="0.3">
      <c r="G722" s="11"/>
    </row>
    <row r="723" spans="7:7" x14ac:dyDescent="0.3">
      <c r="G723" s="11"/>
    </row>
    <row r="724" spans="7:7" x14ac:dyDescent="0.3">
      <c r="G724" s="11"/>
    </row>
    <row r="725" spans="7:7" x14ac:dyDescent="0.3">
      <c r="G725" s="11"/>
    </row>
    <row r="726" spans="7:7" x14ac:dyDescent="0.3">
      <c r="G726" s="11"/>
    </row>
    <row r="727" spans="7:7" x14ac:dyDescent="0.3">
      <c r="G727" s="11"/>
    </row>
    <row r="728" spans="7:7" x14ac:dyDescent="0.3">
      <c r="G728" s="11"/>
    </row>
    <row r="729" spans="7:7" x14ac:dyDescent="0.3">
      <c r="G729" s="11"/>
    </row>
    <row r="730" spans="7:7" x14ac:dyDescent="0.3">
      <c r="G730" s="11"/>
    </row>
    <row r="731" spans="7:7" x14ac:dyDescent="0.3">
      <c r="G731" s="11"/>
    </row>
    <row r="732" spans="7:7" x14ac:dyDescent="0.3">
      <c r="G732" s="11"/>
    </row>
    <row r="733" spans="7:7" x14ac:dyDescent="0.3">
      <c r="G733" s="11"/>
    </row>
    <row r="734" spans="7:7" x14ac:dyDescent="0.3">
      <c r="G734" s="11"/>
    </row>
    <row r="735" spans="7:7" x14ac:dyDescent="0.3">
      <c r="G735" s="11"/>
    </row>
    <row r="736" spans="7:7" x14ac:dyDescent="0.3">
      <c r="G736" s="11"/>
    </row>
    <row r="737" spans="7:7" x14ac:dyDescent="0.3">
      <c r="G737" s="11"/>
    </row>
    <row r="738" spans="7:7" x14ac:dyDescent="0.3">
      <c r="G738" s="11"/>
    </row>
    <row r="739" spans="7:7" x14ac:dyDescent="0.3">
      <c r="G739" s="11"/>
    </row>
    <row r="740" spans="7:7" x14ac:dyDescent="0.3">
      <c r="G740" s="11"/>
    </row>
    <row r="741" spans="7:7" x14ac:dyDescent="0.3">
      <c r="G741" s="11"/>
    </row>
    <row r="742" spans="7:7" x14ac:dyDescent="0.3">
      <c r="G742" s="11"/>
    </row>
    <row r="743" spans="7:7" x14ac:dyDescent="0.3">
      <c r="G743" s="11"/>
    </row>
    <row r="744" spans="7:7" x14ac:dyDescent="0.3">
      <c r="G744" s="11"/>
    </row>
    <row r="745" spans="7:7" x14ac:dyDescent="0.3">
      <c r="G745" s="11"/>
    </row>
    <row r="746" spans="7:7" x14ac:dyDescent="0.3">
      <c r="G746" s="11"/>
    </row>
    <row r="747" spans="7:7" x14ac:dyDescent="0.3">
      <c r="G747" s="11"/>
    </row>
    <row r="748" spans="7:7" x14ac:dyDescent="0.3">
      <c r="G748" s="11"/>
    </row>
    <row r="749" spans="7:7" x14ac:dyDescent="0.3">
      <c r="G749" s="11"/>
    </row>
    <row r="750" spans="7:7" x14ac:dyDescent="0.3">
      <c r="G750" s="11"/>
    </row>
    <row r="751" spans="7:7" x14ac:dyDescent="0.3">
      <c r="G751" s="11"/>
    </row>
    <row r="752" spans="7:7" x14ac:dyDescent="0.3">
      <c r="G752" s="11"/>
    </row>
    <row r="753" spans="7:7" x14ac:dyDescent="0.3">
      <c r="G753" s="11"/>
    </row>
    <row r="754" spans="7:7" x14ac:dyDescent="0.3">
      <c r="G754" s="11"/>
    </row>
    <row r="755" spans="7:7" x14ac:dyDescent="0.3">
      <c r="G755" s="11"/>
    </row>
    <row r="756" spans="7:7" x14ac:dyDescent="0.3">
      <c r="G756" s="11"/>
    </row>
    <row r="757" spans="7:7" x14ac:dyDescent="0.3">
      <c r="G757" s="11"/>
    </row>
    <row r="758" spans="7:7" x14ac:dyDescent="0.3">
      <c r="G758" s="11"/>
    </row>
    <row r="759" spans="7:7" x14ac:dyDescent="0.3">
      <c r="G759" s="11"/>
    </row>
    <row r="760" spans="7:7" x14ac:dyDescent="0.3">
      <c r="G760" s="11"/>
    </row>
    <row r="761" spans="7:7" x14ac:dyDescent="0.3">
      <c r="G761" s="11"/>
    </row>
    <row r="762" spans="7:7" x14ac:dyDescent="0.3">
      <c r="G762" s="11"/>
    </row>
    <row r="763" spans="7:7" x14ac:dyDescent="0.3">
      <c r="G763" s="11"/>
    </row>
    <row r="764" spans="7:7" x14ac:dyDescent="0.3">
      <c r="G764" s="11"/>
    </row>
    <row r="765" spans="7:7" x14ac:dyDescent="0.3">
      <c r="G765" s="11"/>
    </row>
    <row r="766" spans="7:7" x14ac:dyDescent="0.3">
      <c r="G766" s="11"/>
    </row>
    <row r="767" spans="7:7" x14ac:dyDescent="0.3">
      <c r="G767" s="11"/>
    </row>
    <row r="768" spans="7:7" x14ac:dyDescent="0.3">
      <c r="G768" s="11"/>
    </row>
    <row r="769" spans="7:7" x14ac:dyDescent="0.3">
      <c r="G769" s="11"/>
    </row>
    <row r="770" spans="7:7" x14ac:dyDescent="0.3">
      <c r="G770" s="11"/>
    </row>
    <row r="771" spans="7:7" x14ac:dyDescent="0.3">
      <c r="G771" s="11"/>
    </row>
    <row r="772" spans="7:7" x14ac:dyDescent="0.3">
      <c r="G772" s="11"/>
    </row>
    <row r="773" spans="7:7" x14ac:dyDescent="0.3">
      <c r="G773" s="11"/>
    </row>
    <row r="774" spans="7:7" x14ac:dyDescent="0.3">
      <c r="G774" s="11"/>
    </row>
    <row r="775" spans="7:7" x14ac:dyDescent="0.3">
      <c r="G775" s="11"/>
    </row>
    <row r="776" spans="7:7" x14ac:dyDescent="0.3">
      <c r="G776" s="11"/>
    </row>
    <row r="777" spans="7:7" x14ac:dyDescent="0.3">
      <c r="G777" s="11"/>
    </row>
    <row r="778" spans="7:7" x14ac:dyDescent="0.3">
      <c r="G778" s="11"/>
    </row>
    <row r="779" spans="7:7" x14ac:dyDescent="0.3">
      <c r="G779" s="11"/>
    </row>
    <row r="780" spans="7:7" x14ac:dyDescent="0.3">
      <c r="G780" s="11"/>
    </row>
    <row r="781" spans="7:7" x14ac:dyDescent="0.3">
      <c r="G781" s="11"/>
    </row>
    <row r="782" spans="7:7" x14ac:dyDescent="0.3">
      <c r="G782" s="11"/>
    </row>
    <row r="783" spans="7:7" x14ac:dyDescent="0.3">
      <c r="G783" s="11"/>
    </row>
    <row r="784" spans="7:7" x14ac:dyDescent="0.3">
      <c r="G784" s="11"/>
    </row>
    <row r="785" spans="7:7" x14ac:dyDescent="0.3">
      <c r="G785" s="11"/>
    </row>
    <row r="786" spans="7:7" x14ac:dyDescent="0.3">
      <c r="G786" s="11"/>
    </row>
    <row r="787" spans="7:7" x14ac:dyDescent="0.3">
      <c r="G787" s="11"/>
    </row>
    <row r="788" spans="7:7" x14ac:dyDescent="0.3">
      <c r="G788" s="11"/>
    </row>
    <row r="789" spans="7:7" x14ac:dyDescent="0.3">
      <c r="G789" s="11"/>
    </row>
    <row r="790" spans="7:7" x14ac:dyDescent="0.3">
      <c r="G790" s="11"/>
    </row>
    <row r="791" spans="7:7" x14ac:dyDescent="0.3">
      <c r="G791" s="11"/>
    </row>
    <row r="792" spans="7:7" x14ac:dyDescent="0.3">
      <c r="G792" s="11"/>
    </row>
    <row r="793" spans="7:7" x14ac:dyDescent="0.3">
      <c r="G793" s="11"/>
    </row>
    <row r="794" spans="7:7" x14ac:dyDescent="0.3">
      <c r="G794" s="11"/>
    </row>
    <row r="795" spans="7:7" x14ac:dyDescent="0.3">
      <c r="G795" s="11"/>
    </row>
    <row r="796" spans="7:7" x14ac:dyDescent="0.3">
      <c r="G796" s="11"/>
    </row>
    <row r="797" spans="7:7" x14ac:dyDescent="0.3">
      <c r="G797" s="11"/>
    </row>
    <row r="798" spans="7:7" x14ac:dyDescent="0.3">
      <c r="G798" s="11"/>
    </row>
    <row r="799" spans="7:7" x14ac:dyDescent="0.3">
      <c r="G799" s="11"/>
    </row>
    <row r="800" spans="7:7" x14ac:dyDescent="0.3">
      <c r="G800" s="11"/>
    </row>
    <row r="801" spans="7:7" x14ac:dyDescent="0.3">
      <c r="G801" s="11"/>
    </row>
    <row r="802" spans="7:7" x14ac:dyDescent="0.3">
      <c r="G802" s="11"/>
    </row>
    <row r="803" spans="7:7" x14ac:dyDescent="0.3">
      <c r="G803" s="11"/>
    </row>
    <row r="804" spans="7:7" x14ac:dyDescent="0.3">
      <c r="G804" s="11"/>
    </row>
    <row r="805" spans="7:7" x14ac:dyDescent="0.3">
      <c r="G805" s="11"/>
    </row>
    <row r="806" spans="7:7" x14ac:dyDescent="0.3">
      <c r="G806" s="11"/>
    </row>
    <row r="807" spans="7:7" x14ac:dyDescent="0.3">
      <c r="G807" s="11"/>
    </row>
    <row r="808" spans="7:7" x14ac:dyDescent="0.3">
      <c r="G808" s="11"/>
    </row>
    <row r="809" spans="7:7" x14ac:dyDescent="0.3">
      <c r="G809" s="11"/>
    </row>
    <row r="810" spans="7:7" x14ac:dyDescent="0.3">
      <c r="G810" s="11"/>
    </row>
    <row r="811" spans="7:7" x14ac:dyDescent="0.3">
      <c r="G811" s="11"/>
    </row>
    <row r="812" spans="7:7" x14ac:dyDescent="0.3">
      <c r="G812" s="11"/>
    </row>
    <row r="813" spans="7:7" x14ac:dyDescent="0.3">
      <c r="G813" s="11"/>
    </row>
    <row r="814" spans="7:7" x14ac:dyDescent="0.3">
      <c r="G814" s="11"/>
    </row>
    <row r="815" spans="7:7" x14ac:dyDescent="0.3">
      <c r="G815" s="11"/>
    </row>
    <row r="816" spans="7:7" x14ac:dyDescent="0.3">
      <c r="G816" s="11"/>
    </row>
    <row r="817" spans="7:7" x14ac:dyDescent="0.3">
      <c r="G817" s="11"/>
    </row>
    <row r="818" spans="7:7" x14ac:dyDescent="0.3">
      <c r="G818" s="11"/>
    </row>
    <row r="819" spans="7:7" x14ac:dyDescent="0.3">
      <c r="G819" s="11"/>
    </row>
    <row r="820" spans="7:7" x14ac:dyDescent="0.3">
      <c r="G820" s="11"/>
    </row>
    <row r="821" spans="7:7" x14ac:dyDescent="0.3">
      <c r="G821" s="11"/>
    </row>
    <row r="822" spans="7:7" x14ac:dyDescent="0.3">
      <c r="G822" s="11"/>
    </row>
    <row r="823" spans="7:7" x14ac:dyDescent="0.3">
      <c r="G823" s="11"/>
    </row>
    <row r="824" spans="7:7" x14ac:dyDescent="0.3">
      <c r="G824" s="11"/>
    </row>
    <row r="825" spans="7:7" x14ac:dyDescent="0.3">
      <c r="G825" s="11"/>
    </row>
    <row r="826" spans="7:7" x14ac:dyDescent="0.3">
      <c r="G826" s="11"/>
    </row>
    <row r="827" spans="7:7" x14ac:dyDescent="0.3">
      <c r="G827" s="11"/>
    </row>
    <row r="828" spans="7:7" x14ac:dyDescent="0.3">
      <c r="G828" s="11"/>
    </row>
    <row r="829" spans="7:7" x14ac:dyDescent="0.3">
      <c r="G829" s="11"/>
    </row>
    <row r="830" spans="7:7" x14ac:dyDescent="0.3">
      <c r="G830" s="11"/>
    </row>
    <row r="831" spans="7:7" x14ac:dyDescent="0.3">
      <c r="G831" s="11"/>
    </row>
    <row r="832" spans="7:7" x14ac:dyDescent="0.3">
      <c r="G832" s="11"/>
    </row>
    <row r="833" spans="7:7" x14ac:dyDescent="0.3">
      <c r="G833" s="11"/>
    </row>
    <row r="834" spans="7:7" x14ac:dyDescent="0.3">
      <c r="G834" s="11"/>
    </row>
    <row r="835" spans="7:7" x14ac:dyDescent="0.3">
      <c r="G835" s="11"/>
    </row>
    <row r="836" spans="7:7" x14ac:dyDescent="0.3">
      <c r="G836" s="11"/>
    </row>
    <row r="837" spans="7:7" x14ac:dyDescent="0.3">
      <c r="G837" s="11"/>
    </row>
    <row r="838" spans="7:7" x14ac:dyDescent="0.3">
      <c r="G838" s="11"/>
    </row>
    <row r="839" spans="7:7" x14ac:dyDescent="0.3">
      <c r="G839" s="11"/>
    </row>
    <row r="840" spans="7:7" x14ac:dyDescent="0.3">
      <c r="G840" s="11"/>
    </row>
    <row r="841" spans="7:7" x14ac:dyDescent="0.3">
      <c r="G841" s="11"/>
    </row>
    <row r="842" spans="7:7" x14ac:dyDescent="0.3">
      <c r="G842" s="11"/>
    </row>
    <row r="843" spans="7:7" x14ac:dyDescent="0.3">
      <c r="G843" s="11"/>
    </row>
    <row r="844" spans="7:7" x14ac:dyDescent="0.3">
      <c r="G844" s="11"/>
    </row>
    <row r="845" spans="7:7" x14ac:dyDescent="0.3">
      <c r="G845" s="11"/>
    </row>
    <row r="846" spans="7:7" x14ac:dyDescent="0.3">
      <c r="G846" s="11"/>
    </row>
    <row r="847" spans="7:7" x14ac:dyDescent="0.3">
      <c r="G847" s="11"/>
    </row>
    <row r="848" spans="7:7" x14ac:dyDescent="0.3">
      <c r="G848" s="11"/>
    </row>
    <row r="849" spans="7:7" x14ac:dyDescent="0.3">
      <c r="G849" s="11"/>
    </row>
    <row r="850" spans="7:7" x14ac:dyDescent="0.3">
      <c r="G850" s="11"/>
    </row>
    <row r="851" spans="7:7" x14ac:dyDescent="0.3">
      <c r="G851" s="11"/>
    </row>
    <row r="852" spans="7:7" x14ac:dyDescent="0.3">
      <c r="G852" s="11"/>
    </row>
    <row r="853" spans="7:7" x14ac:dyDescent="0.3">
      <c r="G853" s="11"/>
    </row>
    <row r="854" spans="7:7" x14ac:dyDescent="0.3">
      <c r="G854" s="11"/>
    </row>
    <row r="855" spans="7:7" x14ac:dyDescent="0.3">
      <c r="G855" s="11"/>
    </row>
    <row r="856" spans="7:7" x14ac:dyDescent="0.3">
      <c r="G856" s="11"/>
    </row>
    <row r="857" spans="7:7" x14ac:dyDescent="0.3">
      <c r="G857" s="11"/>
    </row>
    <row r="858" spans="7:7" x14ac:dyDescent="0.3">
      <c r="G858" s="11"/>
    </row>
    <row r="859" spans="7:7" x14ac:dyDescent="0.3">
      <c r="G859" s="11"/>
    </row>
    <row r="860" spans="7:7" x14ac:dyDescent="0.3">
      <c r="G860" s="11"/>
    </row>
    <row r="861" spans="7:7" x14ac:dyDescent="0.3">
      <c r="G861" s="11"/>
    </row>
    <row r="862" spans="7:7" x14ac:dyDescent="0.3">
      <c r="G862" s="11"/>
    </row>
    <row r="863" spans="7:7" x14ac:dyDescent="0.3">
      <c r="G863" s="11"/>
    </row>
    <row r="864" spans="7:7" x14ac:dyDescent="0.3">
      <c r="G864" s="11"/>
    </row>
    <row r="865" spans="7:7" x14ac:dyDescent="0.3">
      <c r="G865" s="11"/>
    </row>
    <row r="866" spans="7:7" x14ac:dyDescent="0.3">
      <c r="G866" s="11"/>
    </row>
    <row r="867" spans="7:7" x14ac:dyDescent="0.3">
      <c r="G867" s="11"/>
    </row>
    <row r="868" spans="7:7" x14ac:dyDescent="0.3">
      <c r="G868" s="11"/>
    </row>
    <row r="869" spans="7:7" x14ac:dyDescent="0.3">
      <c r="G869" s="11"/>
    </row>
    <row r="870" spans="7:7" x14ac:dyDescent="0.3">
      <c r="G870" s="11"/>
    </row>
    <row r="871" spans="7:7" x14ac:dyDescent="0.3">
      <c r="G871" s="11"/>
    </row>
    <row r="872" spans="7:7" x14ac:dyDescent="0.3">
      <c r="G872" s="11"/>
    </row>
    <row r="873" spans="7:7" x14ac:dyDescent="0.3">
      <c r="G873" s="11"/>
    </row>
    <row r="874" spans="7:7" x14ac:dyDescent="0.3">
      <c r="G874" s="11"/>
    </row>
    <row r="875" spans="7:7" x14ac:dyDescent="0.3">
      <c r="G875" s="11"/>
    </row>
    <row r="876" spans="7:7" x14ac:dyDescent="0.3">
      <c r="G876" s="11"/>
    </row>
    <row r="877" spans="7:7" x14ac:dyDescent="0.3">
      <c r="G877" s="11"/>
    </row>
    <row r="878" spans="7:7" x14ac:dyDescent="0.3">
      <c r="G878" s="11"/>
    </row>
    <row r="879" spans="7:7" x14ac:dyDescent="0.3">
      <c r="G879" s="11"/>
    </row>
    <row r="880" spans="7:7" x14ac:dyDescent="0.3">
      <c r="G880" s="11"/>
    </row>
    <row r="881" spans="7:7" x14ac:dyDescent="0.3">
      <c r="G881" s="11"/>
    </row>
    <row r="882" spans="7:7" x14ac:dyDescent="0.3">
      <c r="G882" s="11"/>
    </row>
    <row r="883" spans="7:7" x14ac:dyDescent="0.3">
      <c r="G883" s="11"/>
    </row>
    <row r="884" spans="7:7" x14ac:dyDescent="0.3">
      <c r="G884" s="11"/>
    </row>
    <row r="885" spans="7:7" x14ac:dyDescent="0.3">
      <c r="G885" s="11"/>
    </row>
    <row r="886" spans="7:7" x14ac:dyDescent="0.3">
      <c r="G886" s="11"/>
    </row>
    <row r="887" spans="7:7" x14ac:dyDescent="0.3">
      <c r="G887" s="11"/>
    </row>
    <row r="888" spans="7:7" x14ac:dyDescent="0.3">
      <c r="G888" s="11"/>
    </row>
    <row r="889" spans="7:7" x14ac:dyDescent="0.3">
      <c r="G889" s="11"/>
    </row>
    <row r="890" spans="7:7" x14ac:dyDescent="0.3">
      <c r="G890" s="11"/>
    </row>
    <row r="891" spans="7:7" x14ac:dyDescent="0.3">
      <c r="G891" s="11"/>
    </row>
    <row r="892" spans="7:7" x14ac:dyDescent="0.3">
      <c r="G892" s="11"/>
    </row>
    <row r="893" spans="7:7" x14ac:dyDescent="0.3">
      <c r="G893" s="11"/>
    </row>
    <row r="894" spans="7:7" x14ac:dyDescent="0.3">
      <c r="G894" s="11"/>
    </row>
    <row r="895" spans="7:7" x14ac:dyDescent="0.3">
      <c r="G895" s="11"/>
    </row>
    <row r="896" spans="7:7" x14ac:dyDescent="0.3">
      <c r="G896" s="11"/>
    </row>
    <row r="897" spans="7:7" x14ac:dyDescent="0.3">
      <c r="G897" s="11"/>
    </row>
    <row r="898" spans="7:7" x14ac:dyDescent="0.3">
      <c r="G898" s="11"/>
    </row>
    <row r="899" spans="7:7" x14ac:dyDescent="0.3">
      <c r="G899" s="11"/>
    </row>
    <row r="900" spans="7:7" x14ac:dyDescent="0.3">
      <c r="G900" s="11"/>
    </row>
    <row r="901" spans="7:7" x14ac:dyDescent="0.3">
      <c r="G901" s="11"/>
    </row>
    <row r="902" spans="7:7" x14ac:dyDescent="0.3">
      <c r="G902" s="11"/>
    </row>
    <row r="903" spans="7:7" x14ac:dyDescent="0.3">
      <c r="G903" s="11"/>
    </row>
    <row r="904" spans="7:7" x14ac:dyDescent="0.3">
      <c r="G904" s="11"/>
    </row>
    <row r="905" spans="7:7" x14ac:dyDescent="0.3">
      <c r="G905" s="11"/>
    </row>
    <row r="906" spans="7:7" x14ac:dyDescent="0.3">
      <c r="G906" s="11"/>
    </row>
    <row r="907" spans="7:7" x14ac:dyDescent="0.3">
      <c r="G907" s="11"/>
    </row>
    <row r="908" spans="7:7" x14ac:dyDescent="0.3">
      <c r="G908" s="11"/>
    </row>
    <row r="909" spans="7:7" x14ac:dyDescent="0.3">
      <c r="G909" s="11"/>
    </row>
    <row r="910" spans="7:7" x14ac:dyDescent="0.3">
      <c r="G910" s="11"/>
    </row>
    <row r="911" spans="7:7" x14ac:dyDescent="0.3">
      <c r="G911" s="11"/>
    </row>
    <row r="912" spans="7:7" x14ac:dyDescent="0.3">
      <c r="G912" s="11"/>
    </row>
    <row r="913" spans="7:7" x14ac:dyDescent="0.3">
      <c r="G913" s="11"/>
    </row>
    <row r="914" spans="7:7" x14ac:dyDescent="0.3">
      <c r="G914" s="11"/>
    </row>
    <row r="915" spans="7:7" x14ac:dyDescent="0.3">
      <c r="G915" s="11"/>
    </row>
    <row r="916" spans="7:7" x14ac:dyDescent="0.3">
      <c r="G916" s="11"/>
    </row>
    <row r="917" spans="7:7" x14ac:dyDescent="0.3">
      <c r="G917" s="11"/>
    </row>
    <row r="918" spans="7:7" x14ac:dyDescent="0.3">
      <c r="G918" s="11"/>
    </row>
    <row r="919" spans="7:7" x14ac:dyDescent="0.3">
      <c r="G919" s="11"/>
    </row>
    <row r="920" spans="7:7" x14ac:dyDescent="0.3">
      <c r="G920" s="11"/>
    </row>
    <row r="921" spans="7:7" x14ac:dyDescent="0.3">
      <c r="G921" s="11"/>
    </row>
    <row r="922" spans="7:7" x14ac:dyDescent="0.3">
      <c r="G922" s="11"/>
    </row>
    <row r="923" spans="7:7" x14ac:dyDescent="0.3">
      <c r="G923" s="11"/>
    </row>
    <row r="924" spans="7:7" x14ac:dyDescent="0.3">
      <c r="G924" s="11"/>
    </row>
    <row r="925" spans="7:7" x14ac:dyDescent="0.3">
      <c r="G925" s="11"/>
    </row>
    <row r="926" spans="7:7" x14ac:dyDescent="0.3">
      <c r="G926" s="11"/>
    </row>
    <row r="927" spans="7:7" x14ac:dyDescent="0.3">
      <c r="G927" s="11"/>
    </row>
    <row r="928" spans="7:7" x14ac:dyDescent="0.3">
      <c r="G928" s="11"/>
    </row>
    <row r="929" spans="7:7" x14ac:dyDescent="0.3">
      <c r="G929" s="11"/>
    </row>
    <row r="930" spans="7:7" x14ac:dyDescent="0.3">
      <c r="G930" s="11"/>
    </row>
    <row r="931" spans="7:7" x14ac:dyDescent="0.3">
      <c r="G931" s="11"/>
    </row>
    <row r="932" spans="7:7" x14ac:dyDescent="0.3">
      <c r="G932" s="11"/>
    </row>
    <row r="933" spans="7:7" x14ac:dyDescent="0.3">
      <c r="G933" s="11"/>
    </row>
    <row r="934" spans="7:7" x14ac:dyDescent="0.3">
      <c r="G934" s="11"/>
    </row>
    <row r="935" spans="7:7" x14ac:dyDescent="0.3">
      <c r="G935" s="11"/>
    </row>
    <row r="936" spans="7:7" x14ac:dyDescent="0.3">
      <c r="G936" s="11"/>
    </row>
    <row r="937" spans="7:7" x14ac:dyDescent="0.3">
      <c r="G937" s="11"/>
    </row>
    <row r="938" spans="7:7" x14ac:dyDescent="0.3">
      <c r="G938" s="11"/>
    </row>
    <row r="939" spans="7:7" x14ac:dyDescent="0.3">
      <c r="G939" s="11"/>
    </row>
    <row r="940" spans="7:7" x14ac:dyDescent="0.3">
      <c r="G940" s="11"/>
    </row>
    <row r="941" spans="7:7" x14ac:dyDescent="0.3">
      <c r="G941" s="11"/>
    </row>
    <row r="942" spans="7:7" x14ac:dyDescent="0.3">
      <c r="G942" s="11"/>
    </row>
    <row r="943" spans="7:7" x14ac:dyDescent="0.3">
      <c r="G943" s="11"/>
    </row>
    <row r="944" spans="7:7" x14ac:dyDescent="0.3">
      <c r="G944" s="11"/>
    </row>
    <row r="945" spans="7:7" x14ac:dyDescent="0.3">
      <c r="G945" s="11"/>
    </row>
    <row r="946" spans="7:7" x14ac:dyDescent="0.3">
      <c r="G946" s="11"/>
    </row>
    <row r="947" spans="7:7" x14ac:dyDescent="0.3">
      <c r="G947" s="11"/>
    </row>
    <row r="948" spans="7:7" x14ac:dyDescent="0.3">
      <c r="G948" s="11"/>
    </row>
    <row r="949" spans="7:7" x14ac:dyDescent="0.3">
      <c r="G949" s="11"/>
    </row>
    <row r="950" spans="7:7" x14ac:dyDescent="0.3">
      <c r="G950" s="11"/>
    </row>
    <row r="951" spans="7:7" x14ac:dyDescent="0.3">
      <c r="G951" s="11"/>
    </row>
    <row r="952" spans="7:7" x14ac:dyDescent="0.3">
      <c r="G952" s="11"/>
    </row>
    <row r="953" spans="7:7" x14ac:dyDescent="0.3">
      <c r="G953" s="11"/>
    </row>
    <row r="954" spans="7:7" x14ac:dyDescent="0.3">
      <c r="G954" s="11"/>
    </row>
    <row r="955" spans="7:7" x14ac:dyDescent="0.3">
      <c r="G955" s="11"/>
    </row>
    <row r="956" spans="7:7" x14ac:dyDescent="0.3">
      <c r="G956" s="11"/>
    </row>
    <row r="957" spans="7:7" x14ac:dyDescent="0.3">
      <c r="G957" s="11"/>
    </row>
    <row r="958" spans="7:7" x14ac:dyDescent="0.3">
      <c r="G958" s="11"/>
    </row>
    <row r="959" spans="7:7" x14ac:dyDescent="0.3">
      <c r="G959" s="11"/>
    </row>
    <row r="960" spans="7:7" x14ac:dyDescent="0.3">
      <c r="G960" s="11"/>
    </row>
    <row r="961" spans="7:7" x14ac:dyDescent="0.3">
      <c r="G961" s="11"/>
    </row>
    <row r="962" spans="7:7" x14ac:dyDescent="0.3">
      <c r="G962" s="11"/>
    </row>
    <row r="963" spans="7:7" x14ac:dyDescent="0.3">
      <c r="G963" s="11"/>
    </row>
    <row r="964" spans="7:7" x14ac:dyDescent="0.3">
      <c r="G964" s="11"/>
    </row>
    <row r="965" spans="7:7" x14ac:dyDescent="0.3">
      <c r="G965" s="11"/>
    </row>
    <row r="966" spans="7:7" x14ac:dyDescent="0.3">
      <c r="G966" s="11"/>
    </row>
    <row r="967" spans="7:7" x14ac:dyDescent="0.3">
      <c r="G967" s="11"/>
    </row>
    <row r="968" spans="7:7" x14ac:dyDescent="0.3">
      <c r="G968" s="11"/>
    </row>
    <row r="969" spans="7:7" x14ac:dyDescent="0.3">
      <c r="G969" s="11"/>
    </row>
    <row r="970" spans="7:7" x14ac:dyDescent="0.3">
      <c r="G970" s="11"/>
    </row>
    <row r="971" spans="7:7" x14ac:dyDescent="0.3">
      <c r="G971" s="11"/>
    </row>
    <row r="972" spans="7:7" x14ac:dyDescent="0.3">
      <c r="G972" s="11"/>
    </row>
    <row r="973" spans="7:7" x14ac:dyDescent="0.3">
      <c r="G973" s="11"/>
    </row>
    <row r="974" spans="7:7" x14ac:dyDescent="0.3">
      <c r="G974" s="11"/>
    </row>
    <row r="975" spans="7:7" x14ac:dyDescent="0.3">
      <c r="G975" s="11"/>
    </row>
    <row r="976" spans="7:7" x14ac:dyDescent="0.3">
      <c r="G976" s="11"/>
    </row>
    <row r="977" spans="7:7" x14ac:dyDescent="0.3">
      <c r="G977" s="11"/>
    </row>
    <row r="978" spans="7:7" x14ac:dyDescent="0.3">
      <c r="G978" s="11"/>
    </row>
    <row r="979" spans="7:7" x14ac:dyDescent="0.3">
      <c r="G979" s="11"/>
    </row>
    <row r="980" spans="7:7" x14ac:dyDescent="0.3">
      <c r="G980" s="11"/>
    </row>
    <row r="981" spans="7:7" x14ac:dyDescent="0.3">
      <c r="G981" s="11"/>
    </row>
    <row r="982" spans="7:7" x14ac:dyDescent="0.3">
      <c r="G982" s="11"/>
    </row>
    <row r="983" spans="7:7" x14ac:dyDescent="0.3">
      <c r="G983" s="11"/>
    </row>
    <row r="984" spans="7:7" x14ac:dyDescent="0.3">
      <c r="G984" s="11"/>
    </row>
    <row r="985" spans="7:7" x14ac:dyDescent="0.3">
      <c r="G985" s="11"/>
    </row>
    <row r="986" spans="7:7" x14ac:dyDescent="0.3">
      <c r="G986" s="11"/>
    </row>
    <row r="987" spans="7:7" x14ac:dyDescent="0.3">
      <c r="G987" s="11"/>
    </row>
    <row r="988" spans="7:7" x14ac:dyDescent="0.3">
      <c r="G988" s="11"/>
    </row>
    <row r="989" spans="7:7" x14ac:dyDescent="0.3">
      <c r="G989" s="11"/>
    </row>
    <row r="990" spans="7:7" x14ac:dyDescent="0.3">
      <c r="G990" s="11"/>
    </row>
    <row r="991" spans="7:7" x14ac:dyDescent="0.3">
      <c r="G991" s="11"/>
    </row>
    <row r="992" spans="7:7" x14ac:dyDescent="0.3">
      <c r="G992" s="11"/>
    </row>
    <row r="993" spans="7:7" x14ac:dyDescent="0.3">
      <c r="G993" s="11"/>
    </row>
    <row r="994" spans="7:7" x14ac:dyDescent="0.3">
      <c r="G994" s="11"/>
    </row>
    <row r="995" spans="7:7" x14ac:dyDescent="0.3">
      <c r="G995" s="11"/>
    </row>
    <row r="996" spans="7:7" x14ac:dyDescent="0.3">
      <c r="G996" s="11"/>
    </row>
    <row r="997" spans="7:7" x14ac:dyDescent="0.3">
      <c r="G997" s="11"/>
    </row>
    <row r="998" spans="7:7" x14ac:dyDescent="0.3">
      <c r="G998" s="11"/>
    </row>
    <row r="999" spans="7:7" x14ac:dyDescent="0.3">
      <c r="G999" s="11"/>
    </row>
    <row r="1000" spans="7:7" x14ac:dyDescent="0.3">
      <c r="G1000" s="11"/>
    </row>
    <row r="1001" spans="7:7" x14ac:dyDescent="0.3">
      <c r="G1001" s="11"/>
    </row>
    <row r="1002" spans="7:7" x14ac:dyDescent="0.3">
      <c r="G1002" s="11"/>
    </row>
    <row r="1003" spans="7:7" x14ac:dyDescent="0.3">
      <c r="G1003" s="11"/>
    </row>
    <row r="1004" spans="7:7" x14ac:dyDescent="0.3">
      <c r="G1004" s="11"/>
    </row>
    <row r="1005" spans="7:7" x14ac:dyDescent="0.3">
      <c r="G1005" s="11"/>
    </row>
    <row r="1006" spans="7:7" x14ac:dyDescent="0.3">
      <c r="G1006" s="11"/>
    </row>
    <row r="1007" spans="7:7" x14ac:dyDescent="0.3">
      <c r="G1007" s="11"/>
    </row>
    <row r="1008" spans="7:7" x14ac:dyDescent="0.3">
      <c r="G1008" s="11"/>
    </row>
    <row r="1009" spans="7:7" x14ac:dyDescent="0.3">
      <c r="G1009" s="11"/>
    </row>
    <row r="1010" spans="7:7" x14ac:dyDescent="0.3">
      <c r="G1010" s="11"/>
    </row>
    <row r="1011" spans="7:7" x14ac:dyDescent="0.3">
      <c r="G1011" s="11"/>
    </row>
    <row r="1012" spans="7:7" x14ac:dyDescent="0.3">
      <c r="G1012" s="11"/>
    </row>
    <row r="1013" spans="7:7" x14ac:dyDescent="0.3">
      <c r="G1013" s="11"/>
    </row>
    <row r="1014" spans="7:7" x14ac:dyDescent="0.3">
      <c r="G1014" s="11"/>
    </row>
    <row r="1015" spans="7:7" x14ac:dyDescent="0.3">
      <c r="G1015" s="11"/>
    </row>
    <row r="1016" spans="7:7" x14ac:dyDescent="0.3">
      <c r="G1016" s="11"/>
    </row>
    <row r="1017" spans="7:7" x14ac:dyDescent="0.3">
      <c r="G1017" s="11"/>
    </row>
    <row r="1018" spans="7:7" x14ac:dyDescent="0.3">
      <c r="G1018" s="11"/>
    </row>
    <row r="1019" spans="7:7" x14ac:dyDescent="0.3">
      <c r="G1019" s="11"/>
    </row>
    <row r="1020" spans="7:7" x14ac:dyDescent="0.3">
      <c r="G1020" s="11"/>
    </row>
    <row r="1021" spans="7:7" x14ac:dyDescent="0.3">
      <c r="G1021" s="11"/>
    </row>
    <row r="1022" spans="7:7" x14ac:dyDescent="0.3">
      <c r="G1022" s="11"/>
    </row>
    <row r="1023" spans="7:7" x14ac:dyDescent="0.3">
      <c r="G1023" s="11"/>
    </row>
    <row r="1024" spans="7:7" x14ac:dyDescent="0.3">
      <c r="G1024" s="11"/>
    </row>
    <row r="1025" spans="7:7" x14ac:dyDescent="0.3">
      <c r="G1025" s="11"/>
    </row>
    <row r="1026" spans="7:7" x14ac:dyDescent="0.3">
      <c r="G1026" s="11"/>
    </row>
    <row r="1027" spans="7:7" x14ac:dyDescent="0.3">
      <c r="G1027" s="11"/>
    </row>
    <row r="1028" spans="7:7" x14ac:dyDescent="0.3">
      <c r="G1028" s="11"/>
    </row>
    <row r="1029" spans="7:7" x14ac:dyDescent="0.3">
      <c r="G1029" s="11"/>
    </row>
    <row r="1030" spans="7:7" x14ac:dyDescent="0.3">
      <c r="G1030" s="11"/>
    </row>
    <row r="1031" spans="7:7" x14ac:dyDescent="0.3">
      <c r="G1031" s="11"/>
    </row>
    <row r="1032" spans="7:7" x14ac:dyDescent="0.3">
      <c r="G1032" s="11"/>
    </row>
    <row r="1033" spans="7:7" x14ac:dyDescent="0.3">
      <c r="G1033" s="11"/>
    </row>
    <row r="1034" spans="7:7" x14ac:dyDescent="0.3">
      <c r="G1034" s="11"/>
    </row>
    <row r="1035" spans="7:7" x14ac:dyDescent="0.3">
      <c r="G1035" s="11"/>
    </row>
    <row r="1036" spans="7:7" x14ac:dyDescent="0.3">
      <c r="G1036" s="11"/>
    </row>
    <row r="1037" spans="7:7" x14ac:dyDescent="0.3">
      <c r="G1037" s="11"/>
    </row>
    <row r="1038" spans="7:7" x14ac:dyDescent="0.3">
      <c r="G1038" s="11"/>
    </row>
    <row r="1039" spans="7:7" x14ac:dyDescent="0.3">
      <c r="G1039" s="11"/>
    </row>
    <row r="1040" spans="7:7" x14ac:dyDescent="0.3">
      <c r="G1040" s="11"/>
    </row>
    <row r="1041" spans="7:7" x14ac:dyDescent="0.3">
      <c r="G1041" s="11"/>
    </row>
    <row r="1042" spans="7:7" x14ac:dyDescent="0.3">
      <c r="G1042" s="11"/>
    </row>
    <row r="1043" spans="7:7" x14ac:dyDescent="0.3">
      <c r="G1043" s="11"/>
    </row>
    <row r="1044" spans="7:7" x14ac:dyDescent="0.3">
      <c r="G1044" s="11"/>
    </row>
    <row r="1045" spans="7:7" x14ac:dyDescent="0.3">
      <c r="G1045" s="11"/>
    </row>
    <row r="1046" spans="7:7" x14ac:dyDescent="0.3">
      <c r="G1046" s="11"/>
    </row>
    <row r="1047" spans="7:7" x14ac:dyDescent="0.3">
      <c r="G1047" s="11"/>
    </row>
    <row r="1048" spans="7:7" x14ac:dyDescent="0.3">
      <c r="G1048" s="11"/>
    </row>
    <row r="1049" spans="7:7" x14ac:dyDescent="0.3">
      <c r="G1049" s="11"/>
    </row>
    <row r="1050" spans="7:7" x14ac:dyDescent="0.3">
      <c r="G1050" s="11"/>
    </row>
    <row r="1051" spans="7:7" x14ac:dyDescent="0.3">
      <c r="G1051" s="11"/>
    </row>
    <row r="1052" spans="7:7" x14ac:dyDescent="0.3">
      <c r="G1052" s="11"/>
    </row>
    <row r="1053" spans="7:7" x14ac:dyDescent="0.3">
      <c r="G1053" s="11"/>
    </row>
    <row r="1054" spans="7:7" x14ac:dyDescent="0.3">
      <c r="G1054" s="11"/>
    </row>
    <row r="1055" spans="7:7" x14ac:dyDescent="0.3">
      <c r="G1055" s="11"/>
    </row>
    <row r="1056" spans="7:7" x14ac:dyDescent="0.3">
      <c r="G1056" s="11"/>
    </row>
    <row r="1057" spans="7:7" x14ac:dyDescent="0.3">
      <c r="G1057" s="11"/>
    </row>
    <row r="1058" spans="7:7" x14ac:dyDescent="0.3">
      <c r="G1058" s="11"/>
    </row>
    <row r="1059" spans="7:7" x14ac:dyDescent="0.3">
      <c r="G1059" s="11"/>
    </row>
    <row r="1060" spans="7:7" x14ac:dyDescent="0.3">
      <c r="G1060" s="11"/>
    </row>
    <row r="1061" spans="7:7" x14ac:dyDescent="0.3">
      <c r="G1061" s="11"/>
    </row>
    <row r="1062" spans="7:7" x14ac:dyDescent="0.3">
      <c r="G1062" s="11"/>
    </row>
    <row r="1063" spans="7:7" x14ac:dyDescent="0.3">
      <c r="G1063" s="11"/>
    </row>
    <row r="1064" spans="7:7" x14ac:dyDescent="0.3">
      <c r="G1064" s="11"/>
    </row>
    <row r="1065" spans="7:7" x14ac:dyDescent="0.3">
      <c r="G1065" s="11"/>
    </row>
    <row r="1066" spans="7:7" x14ac:dyDescent="0.3">
      <c r="G1066" s="11"/>
    </row>
    <row r="1067" spans="7:7" x14ac:dyDescent="0.3">
      <c r="G1067" s="11"/>
    </row>
    <row r="1068" spans="7:7" x14ac:dyDescent="0.3">
      <c r="G1068" s="11"/>
    </row>
    <row r="1069" spans="7:7" x14ac:dyDescent="0.3">
      <c r="G1069" s="11"/>
    </row>
    <row r="1070" spans="7:7" x14ac:dyDescent="0.3">
      <c r="G1070" s="11"/>
    </row>
    <row r="1071" spans="7:7" x14ac:dyDescent="0.3">
      <c r="G1071" s="11"/>
    </row>
    <row r="1072" spans="7:7" x14ac:dyDescent="0.3">
      <c r="G1072" s="11"/>
    </row>
    <row r="1073" spans="7:7" x14ac:dyDescent="0.3">
      <c r="G1073" s="11"/>
    </row>
    <row r="1074" spans="7:7" x14ac:dyDescent="0.3">
      <c r="G1074" s="11"/>
    </row>
    <row r="1075" spans="7:7" x14ac:dyDescent="0.3">
      <c r="G1075" s="11"/>
    </row>
    <row r="1076" spans="7:7" x14ac:dyDescent="0.3">
      <c r="G1076" s="11"/>
    </row>
    <row r="1077" spans="7:7" x14ac:dyDescent="0.3">
      <c r="G1077" s="11"/>
    </row>
    <row r="1078" spans="7:7" x14ac:dyDescent="0.3">
      <c r="G1078" s="11"/>
    </row>
    <row r="1079" spans="7:7" x14ac:dyDescent="0.3">
      <c r="G1079" s="11"/>
    </row>
    <row r="1080" spans="7:7" x14ac:dyDescent="0.3">
      <c r="G1080" s="11"/>
    </row>
    <row r="1081" spans="7:7" x14ac:dyDescent="0.3">
      <c r="G1081" s="11"/>
    </row>
    <row r="1082" spans="7:7" x14ac:dyDescent="0.3">
      <c r="G1082" s="11"/>
    </row>
    <row r="1083" spans="7:7" x14ac:dyDescent="0.3">
      <c r="G1083" s="11"/>
    </row>
    <row r="1084" spans="7:7" x14ac:dyDescent="0.3">
      <c r="G1084" s="11"/>
    </row>
    <row r="1085" spans="7:7" x14ac:dyDescent="0.3">
      <c r="G1085" s="11"/>
    </row>
    <row r="1086" spans="7:7" x14ac:dyDescent="0.3">
      <c r="G1086" s="11"/>
    </row>
    <row r="1087" spans="7:7" x14ac:dyDescent="0.3">
      <c r="G1087" s="11"/>
    </row>
    <row r="1088" spans="7:7" x14ac:dyDescent="0.3">
      <c r="G1088" s="11"/>
    </row>
    <row r="1089" spans="7:7" x14ac:dyDescent="0.3">
      <c r="G1089" s="11"/>
    </row>
    <row r="1090" spans="7:7" x14ac:dyDescent="0.3">
      <c r="G1090" s="11"/>
    </row>
    <row r="1091" spans="7:7" x14ac:dyDescent="0.3">
      <c r="G1091" s="11"/>
    </row>
    <row r="1092" spans="7:7" x14ac:dyDescent="0.3">
      <c r="G1092" s="11"/>
    </row>
    <row r="1093" spans="7:7" x14ac:dyDescent="0.3">
      <c r="G1093" s="11"/>
    </row>
    <row r="1094" spans="7:7" x14ac:dyDescent="0.3">
      <c r="G1094" s="11"/>
    </row>
    <row r="1095" spans="7:7" x14ac:dyDescent="0.3">
      <c r="G1095" s="11"/>
    </row>
    <row r="1096" spans="7:7" x14ac:dyDescent="0.3">
      <c r="G1096" s="11"/>
    </row>
    <row r="1097" spans="7:7" x14ac:dyDescent="0.3">
      <c r="G1097" s="11"/>
    </row>
    <row r="1098" spans="7:7" x14ac:dyDescent="0.3">
      <c r="G1098" s="11"/>
    </row>
    <row r="1099" spans="7:7" x14ac:dyDescent="0.3">
      <c r="G1099" s="11"/>
    </row>
    <row r="1100" spans="7:7" x14ac:dyDescent="0.3">
      <c r="G1100" s="11"/>
    </row>
    <row r="1101" spans="7:7" x14ac:dyDescent="0.3">
      <c r="G1101" s="11"/>
    </row>
    <row r="1102" spans="7:7" x14ac:dyDescent="0.3">
      <c r="G1102" s="11"/>
    </row>
    <row r="1103" spans="7:7" x14ac:dyDescent="0.3">
      <c r="G1103" s="11"/>
    </row>
    <row r="1104" spans="7:7" x14ac:dyDescent="0.3">
      <c r="G1104" s="11"/>
    </row>
    <row r="1105" spans="7:7" x14ac:dyDescent="0.3">
      <c r="G1105" s="11"/>
    </row>
    <row r="1106" spans="7:7" x14ac:dyDescent="0.3">
      <c r="G1106" s="11"/>
    </row>
    <row r="1107" spans="7:7" x14ac:dyDescent="0.3">
      <c r="G1107" s="11"/>
    </row>
    <row r="1108" spans="7:7" x14ac:dyDescent="0.3">
      <c r="G1108" s="11"/>
    </row>
    <row r="1109" spans="7:7" x14ac:dyDescent="0.3">
      <c r="G1109" s="11"/>
    </row>
    <row r="1110" spans="7:7" x14ac:dyDescent="0.3">
      <c r="G1110" s="11"/>
    </row>
    <row r="1111" spans="7:7" x14ac:dyDescent="0.3">
      <c r="G1111" s="11"/>
    </row>
    <row r="1112" spans="7:7" x14ac:dyDescent="0.3">
      <c r="G1112" s="11"/>
    </row>
    <row r="1113" spans="7:7" x14ac:dyDescent="0.3">
      <c r="G1113" s="11"/>
    </row>
    <row r="1114" spans="7:7" x14ac:dyDescent="0.3">
      <c r="G1114" s="11"/>
    </row>
    <row r="1115" spans="7:7" x14ac:dyDescent="0.3">
      <c r="G1115" s="11"/>
    </row>
    <row r="1116" spans="7:7" x14ac:dyDescent="0.3">
      <c r="G1116" s="11"/>
    </row>
    <row r="1117" spans="7:7" x14ac:dyDescent="0.3">
      <c r="G1117" s="11"/>
    </row>
    <row r="1118" spans="7:7" x14ac:dyDescent="0.3">
      <c r="G1118" s="11"/>
    </row>
    <row r="1119" spans="7:7" x14ac:dyDescent="0.3">
      <c r="G1119" s="11"/>
    </row>
    <row r="1120" spans="7:7" x14ac:dyDescent="0.3">
      <c r="G1120" s="11"/>
    </row>
    <row r="1121" spans="7:7" x14ac:dyDescent="0.3">
      <c r="G1121" s="11"/>
    </row>
    <row r="1122" spans="7:7" x14ac:dyDescent="0.3">
      <c r="G1122" s="11"/>
    </row>
    <row r="1123" spans="7:7" x14ac:dyDescent="0.3">
      <c r="G1123" s="11"/>
    </row>
    <row r="1124" spans="7:7" x14ac:dyDescent="0.3">
      <c r="G1124" s="11"/>
    </row>
    <row r="1125" spans="7:7" x14ac:dyDescent="0.3">
      <c r="G1125" s="11"/>
    </row>
    <row r="1126" spans="7:7" x14ac:dyDescent="0.3">
      <c r="G1126" s="11"/>
    </row>
    <row r="1127" spans="7:7" x14ac:dyDescent="0.3">
      <c r="G1127" s="11"/>
    </row>
    <row r="1128" spans="7:7" x14ac:dyDescent="0.3">
      <c r="G1128" s="11"/>
    </row>
    <row r="1129" spans="7:7" x14ac:dyDescent="0.3">
      <c r="G1129" s="11"/>
    </row>
    <row r="1130" spans="7:7" x14ac:dyDescent="0.3">
      <c r="G1130" s="11"/>
    </row>
    <row r="1131" spans="7:7" x14ac:dyDescent="0.3">
      <c r="G1131" s="11"/>
    </row>
    <row r="1132" spans="7:7" x14ac:dyDescent="0.3">
      <c r="G1132" s="11"/>
    </row>
    <row r="1133" spans="7:7" x14ac:dyDescent="0.3">
      <c r="G1133" s="11"/>
    </row>
    <row r="1134" spans="7:7" x14ac:dyDescent="0.3">
      <c r="G1134" s="11"/>
    </row>
    <row r="1135" spans="7:7" x14ac:dyDescent="0.3">
      <c r="G1135" s="11"/>
    </row>
    <row r="1136" spans="7:7" x14ac:dyDescent="0.3">
      <c r="G1136" s="11"/>
    </row>
    <row r="1137" spans="7:7" x14ac:dyDescent="0.3">
      <c r="G1137" s="11"/>
    </row>
    <row r="1138" spans="7:7" x14ac:dyDescent="0.3">
      <c r="G1138" s="11"/>
    </row>
    <row r="1139" spans="7:7" x14ac:dyDescent="0.3">
      <c r="G1139" s="11"/>
    </row>
    <row r="1140" spans="7:7" x14ac:dyDescent="0.3">
      <c r="G1140" s="11"/>
    </row>
    <row r="1141" spans="7:7" x14ac:dyDescent="0.3">
      <c r="G1141" s="11"/>
    </row>
    <row r="1142" spans="7:7" x14ac:dyDescent="0.3">
      <c r="G1142" s="11"/>
    </row>
    <row r="1143" spans="7:7" x14ac:dyDescent="0.3">
      <c r="G1143" s="11"/>
    </row>
    <row r="1144" spans="7:7" x14ac:dyDescent="0.3">
      <c r="G1144" s="11"/>
    </row>
    <row r="1145" spans="7:7" x14ac:dyDescent="0.3">
      <c r="G1145" s="11"/>
    </row>
    <row r="1146" spans="7:7" x14ac:dyDescent="0.3">
      <c r="G1146" s="11"/>
    </row>
    <row r="1147" spans="7:7" x14ac:dyDescent="0.3">
      <c r="G1147" s="11"/>
    </row>
    <row r="1148" spans="7:7" x14ac:dyDescent="0.3">
      <c r="G1148" s="11"/>
    </row>
    <row r="1149" spans="7:7" x14ac:dyDescent="0.3">
      <c r="G1149" s="11"/>
    </row>
    <row r="1150" spans="7:7" x14ac:dyDescent="0.3">
      <c r="G1150" s="11"/>
    </row>
    <row r="1151" spans="7:7" x14ac:dyDescent="0.3">
      <c r="G1151" s="11"/>
    </row>
    <row r="1152" spans="7:7" x14ac:dyDescent="0.3">
      <c r="G1152" s="11"/>
    </row>
    <row r="1153" spans="7:7" x14ac:dyDescent="0.3">
      <c r="G1153" s="11"/>
    </row>
    <row r="1154" spans="7:7" x14ac:dyDescent="0.3">
      <c r="G1154" s="11"/>
    </row>
    <row r="1155" spans="7:7" x14ac:dyDescent="0.3">
      <c r="G1155" s="11"/>
    </row>
    <row r="1156" spans="7:7" x14ac:dyDescent="0.3">
      <c r="G1156" s="11"/>
    </row>
    <row r="1157" spans="7:7" x14ac:dyDescent="0.3">
      <c r="G1157" s="11"/>
    </row>
    <row r="1158" spans="7:7" x14ac:dyDescent="0.3">
      <c r="G1158" s="11"/>
    </row>
    <row r="1159" spans="7:7" x14ac:dyDescent="0.3">
      <c r="G1159" s="11"/>
    </row>
    <row r="1160" spans="7:7" x14ac:dyDescent="0.3">
      <c r="G1160" s="11"/>
    </row>
    <row r="1161" spans="7:7" x14ac:dyDescent="0.3">
      <c r="G1161" s="11"/>
    </row>
    <row r="1162" spans="7:7" x14ac:dyDescent="0.3">
      <c r="G1162" s="11"/>
    </row>
    <row r="1163" spans="7:7" x14ac:dyDescent="0.3">
      <c r="G1163" s="11"/>
    </row>
    <row r="1164" spans="7:7" x14ac:dyDescent="0.3">
      <c r="G1164" s="11"/>
    </row>
    <row r="1165" spans="7:7" x14ac:dyDescent="0.3">
      <c r="G1165" s="11"/>
    </row>
    <row r="1166" spans="7:7" x14ac:dyDescent="0.3">
      <c r="G1166" s="11"/>
    </row>
    <row r="1167" spans="7:7" x14ac:dyDescent="0.3">
      <c r="G1167" s="11"/>
    </row>
    <row r="1168" spans="7:7" x14ac:dyDescent="0.3">
      <c r="G1168" s="11"/>
    </row>
    <row r="1169" spans="7:7" x14ac:dyDescent="0.3">
      <c r="G1169" s="11"/>
    </row>
    <row r="1170" spans="7:7" x14ac:dyDescent="0.3">
      <c r="G1170" s="11"/>
    </row>
    <row r="1171" spans="7:7" x14ac:dyDescent="0.3">
      <c r="G1171" s="11"/>
    </row>
    <row r="1172" spans="7:7" x14ac:dyDescent="0.3">
      <c r="G1172" s="11"/>
    </row>
    <row r="1173" spans="7:7" x14ac:dyDescent="0.3">
      <c r="G1173" s="11"/>
    </row>
    <row r="1174" spans="7:7" x14ac:dyDescent="0.3">
      <c r="G1174" s="11"/>
    </row>
    <row r="1175" spans="7:7" x14ac:dyDescent="0.3">
      <c r="G1175" s="11"/>
    </row>
    <row r="1176" spans="7:7" x14ac:dyDescent="0.3">
      <c r="G1176" s="11"/>
    </row>
    <row r="1177" spans="7:7" x14ac:dyDescent="0.3">
      <c r="G1177" s="11"/>
    </row>
    <row r="1178" spans="7:7" x14ac:dyDescent="0.3">
      <c r="G1178" s="11"/>
    </row>
    <row r="1179" spans="7:7" x14ac:dyDescent="0.3">
      <c r="G1179" s="11"/>
    </row>
    <row r="1180" spans="7:7" x14ac:dyDescent="0.3">
      <c r="G1180" s="11"/>
    </row>
    <row r="1181" spans="7:7" x14ac:dyDescent="0.3">
      <c r="G1181" s="11"/>
    </row>
    <row r="1182" spans="7:7" x14ac:dyDescent="0.3">
      <c r="G1182" s="11"/>
    </row>
    <row r="1183" spans="7:7" x14ac:dyDescent="0.3">
      <c r="G1183" s="11"/>
    </row>
    <row r="1184" spans="7:7" x14ac:dyDescent="0.3">
      <c r="G1184" s="11"/>
    </row>
    <row r="1185" spans="7:7" x14ac:dyDescent="0.3">
      <c r="G1185" s="11"/>
    </row>
    <row r="1186" spans="7:7" x14ac:dyDescent="0.3">
      <c r="G1186" s="11"/>
    </row>
    <row r="1187" spans="7:7" x14ac:dyDescent="0.3">
      <c r="G1187" s="11"/>
    </row>
    <row r="1188" spans="7:7" x14ac:dyDescent="0.3">
      <c r="G1188" s="11"/>
    </row>
    <row r="1189" spans="7:7" x14ac:dyDescent="0.3">
      <c r="G1189" s="11"/>
    </row>
    <row r="1190" spans="7:7" x14ac:dyDescent="0.3">
      <c r="G1190" s="11"/>
    </row>
    <row r="1191" spans="7:7" x14ac:dyDescent="0.3">
      <c r="G1191" s="11"/>
    </row>
    <row r="1192" spans="7:7" x14ac:dyDescent="0.3">
      <c r="G1192" s="11"/>
    </row>
    <row r="1193" spans="7:7" x14ac:dyDescent="0.3">
      <c r="G1193" s="11"/>
    </row>
  </sheetData>
  <conditionalFormatting sqref="G5:G1193">
    <cfRule type="iconSet" priority="2">
      <iconSet iconSet="3Symbols2" showValue="0">
        <cfvo type="percent" val="0"/>
        <cfvo type="num" val="0" gte="0"/>
        <cfvo type="num" val="1"/>
      </iconSet>
    </cfRule>
  </conditionalFormatting>
  <conditionalFormatting sqref="H5:H497">
    <cfRule type="dataBar" priority="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{2B46D37C-43C5-4A84-960D-19A0ED467C67}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46D37C-43C5-4A84-960D-19A0ED467C67}">
            <x14:dataBar minLength="0" maxLength="100" gradient="0">
              <x14:cfvo type="autoMin"/>
              <x14:cfvo type="max"/>
              <x14:negativeFillColor rgb="FFFF0000"/>
              <x14:axisColor rgb="FF000000"/>
            </x14:dataBar>
          </x14:cfRule>
          <xm:sqref>H5:H497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D3AC-4339-4443-A637-2F322C298591}">
  <sheetPr codeName="Sheet4"/>
  <dimension ref="B2:I49"/>
  <sheetViews>
    <sheetView showGridLines="0" zoomScale="80" zoomScaleNormal="80" workbookViewId="0">
      <pane ySplit="2" topLeftCell="A3" activePane="bottomLeft" state="frozenSplit"/>
      <selection activeCell="I13" sqref="I13"/>
      <selection pane="bottomLeft" activeCell="I49" sqref="I49"/>
    </sheetView>
  </sheetViews>
  <sheetFormatPr defaultColWidth="9.23046875" defaultRowHeight="18.75" x14ac:dyDescent="0.3"/>
  <cols>
    <col min="1" max="1" width="1.3046875" style="1" customWidth="1"/>
    <col min="2" max="2" width="9.23046875" style="1"/>
    <col min="3" max="4" width="21.69140625" style="1" customWidth="1"/>
    <col min="5" max="5" width="7.61328125" style="1" bestFit="1" customWidth="1"/>
    <col min="6" max="6" width="21.69140625" style="1" customWidth="1"/>
    <col min="7" max="7" width="65.69140625" style="1" bestFit="1" customWidth="1"/>
    <col min="8" max="8" width="8.921875" style="1" bestFit="1" customWidth="1"/>
    <col min="9" max="16384" width="9.23046875" style="1"/>
  </cols>
  <sheetData>
    <row r="2" spans="2:9" ht="20.25" thickBot="1" x14ac:dyDescent="0.35">
      <c r="B2" s="12" t="s">
        <v>10</v>
      </c>
      <c r="C2" s="12"/>
      <c r="D2" s="12"/>
      <c r="E2" s="12"/>
      <c r="F2" s="12"/>
      <c r="G2" s="12"/>
      <c r="H2" s="12"/>
      <c r="I2" s="12"/>
    </row>
    <row r="3" spans="2:9" ht="19.5" thickTop="1" x14ac:dyDescent="0.3"/>
    <row r="4" spans="2:9" x14ac:dyDescent="0.3">
      <c r="B4" s="5" t="s">
        <v>20</v>
      </c>
      <c r="C4" s="5" t="s">
        <v>21</v>
      </c>
      <c r="D4" s="5" t="s">
        <v>15</v>
      </c>
      <c r="E4" s="5" t="s">
        <v>22</v>
      </c>
      <c r="F4" s="5" t="s">
        <v>16</v>
      </c>
      <c r="G4" s="5" t="s">
        <v>17</v>
      </c>
      <c r="H4" s="5" t="s">
        <v>18</v>
      </c>
    </row>
    <row r="5" spans="2:9" x14ac:dyDescent="0.3">
      <c r="B5" s="1" cm="1">
        <f t="array" ref="B5:B49">_xlfn.SEQUENCE(COUNTA(_xlfn._TRO_ALL(C:C))-1)</f>
        <v>1</v>
      </c>
      <c r="C5" s="1" t="s">
        <v>23</v>
      </c>
      <c r="D5" s="1" t="s">
        <v>24</v>
      </c>
      <c r="F5" s="1" t="s">
        <v>25</v>
      </c>
      <c r="G5" s="1" t="s">
        <v>26</v>
      </c>
      <c r="H5" s="13" t="b">
        <v>1</v>
      </c>
    </row>
    <row r="6" spans="2:9" x14ac:dyDescent="0.3">
      <c r="B6" s="1">
        <v>2</v>
      </c>
      <c r="C6" s="1" t="s">
        <v>27</v>
      </c>
      <c r="D6" s="1" t="s">
        <v>28</v>
      </c>
      <c r="F6" s="1" t="s">
        <v>25</v>
      </c>
      <c r="G6" s="1" t="s">
        <v>29</v>
      </c>
      <c r="H6" s="13" t="b">
        <v>0</v>
      </c>
    </row>
    <row r="7" spans="2:9" x14ac:dyDescent="0.3">
      <c r="B7" s="1">
        <v>3</v>
      </c>
      <c r="C7" s="1" t="s">
        <v>30</v>
      </c>
      <c r="F7" s="1" t="s">
        <v>25</v>
      </c>
      <c r="G7" s="1" t="s">
        <v>31</v>
      </c>
      <c r="H7" s="13" t="b">
        <v>1</v>
      </c>
    </row>
    <row r="8" spans="2:9" x14ac:dyDescent="0.3">
      <c r="B8" s="1">
        <v>4</v>
      </c>
      <c r="C8" s="1" t="s">
        <v>32</v>
      </c>
      <c r="D8" s="1" t="s">
        <v>33</v>
      </c>
      <c r="F8" s="1" t="s">
        <v>34</v>
      </c>
      <c r="G8" s="1" t="s">
        <v>35</v>
      </c>
      <c r="H8" s="13" t="b">
        <v>0</v>
      </c>
    </row>
    <row r="9" spans="2:9" x14ac:dyDescent="0.3">
      <c r="B9" s="1">
        <v>5</v>
      </c>
      <c r="C9" s="1" t="s">
        <v>36</v>
      </c>
      <c r="D9" s="1" t="s">
        <v>37</v>
      </c>
      <c r="F9" s="1" t="s">
        <v>25</v>
      </c>
      <c r="G9" s="1" t="s">
        <v>38</v>
      </c>
      <c r="H9" s="13" t="b">
        <v>0</v>
      </c>
    </row>
    <row r="10" spans="2:9" x14ac:dyDescent="0.3">
      <c r="B10" s="1">
        <v>6</v>
      </c>
      <c r="C10" s="1" t="s">
        <v>39</v>
      </c>
      <c r="F10" s="1" t="s">
        <v>25</v>
      </c>
      <c r="G10" s="1" t="s">
        <v>40</v>
      </c>
      <c r="H10" s="13" t="b">
        <v>0</v>
      </c>
    </row>
    <row r="11" spans="2:9" x14ac:dyDescent="0.3">
      <c r="B11" s="1">
        <v>7</v>
      </c>
      <c r="C11" s="1" t="s">
        <v>39</v>
      </c>
      <c r="F11" s="1" t="s">
        <v>25</v>
      </c>
      <c r="G11" s="1" t="s">
        <v>40</v>
      </c>
      <c r="H11" s="13" t="b">
        <v>0</v>
      </c>
    </row>
    <row r="12" spans="2:9" x14ac:dyDescent="0.3">
      <c r="B12" s="1">
        <v>8</v>
      </c>
      <c r="C12" s="1" t="s">
        <v>39</v>
      </c>
      <c r="F12" s="1" t="s">
        <v>25</v>
      </c>
      <c r="G12" s="1" t="s">
        <v>40</v>
      </c>
      <c r="H12" s="13" t="b">
        <v>0</v>
      </c>
    </row>
    <row r="13" spans="2:9" x14ac:dyDescent="0.3">
      <c r="B13" s="1">
        <v>9</v>
      </c>
      <c r="C13" s="1" t="s">
        <v>41</v>
      </c>
      <c r="D13" s="1" t="s">
        <v>42</v>
      </c>
      <c r="F13" s="1" t="s">
        <v>25</v>
      </c>
      <c r="G13" s="1" t="s">
        <v>43</v>
      </c>
      <c r="H13" s="13" t="b">
        <v>0</v>
      </c>
    </row>
    <row r="14" spans="2:9" x14ac:dyDescent="0.3">
      <c r="B14" s="1">
        <v>10</v>
      </c>
      <c r="C14" s="1" t="s">
        <v>44</v>
      </c>
      <c r="F14" s="1" t="s">
        <v>25</v>
      </c>
      <c r="G14" s="1" t="s">
        <v>45</v>
      </c>
      <c r="H14" s="13" t="b">
        <v>1</v>
      </c>
    </row>
    <row r="15" spans="2:9" x14ac:dyDescent="0.3">
      <c r="B15" s="1">
        <v>11</v>
      </c>
      <c r="C15" s="1" t="s">
        <v>46</v>
      </c>
      <c r="D15" s="1" t="s">
        <v>47</v>
      </c>
      <c r="F15" s="1" t="s">
        <v>25</v>
      </c>
      <c r="G15" s="1" t="s">
        <v>48</v>
      </c>
      <c r="H15" s="13" t="b">
        <v>0</v>
      </c>
    </row>
    <row r="16" spans="2:9" x14ac:dyDescent="0.3">
      <c r="B16" s="1">
        <v>12</v>
      </c>
      <c r="C16" s="1" t="s">
        <v>49</v>
      </c>
      <c r="D16" s="1" t="s">
        <v>50</v>
      </c>
      <c r="F16" s="1" t="s">
        <v>34</v>
      </c>
      <c r="G16" s="1" t="s">
        <v>51</v>
      </c>
      <c r="H16" s="13" t="b">
        <v>0</v>
      </c>
    </row>
    <row r="17" spans="2:8" x14ac:dyDescent="0.3">
      <c r="B17" s="1">
        <v>13</v>
      </c>
      <c r="C17" s="1" t="s">
        <v>39</v>
      </c>
      <c r="F17" s="1" t="s">
        <v>25</v>
      </c>
      <c r="G17" s="1" t="s">
        <v>40</v>
      </c>
      <c r="H17" s="13" t="b">
        <v>0</v>
      </c>
    </row>
    <row r="18" spans="2:8" x14ac:dyDescent="0.3">
      <c r="B18" s="1">
        <v>14</v>
      </c>
      <c r="C18" s="1" t="s">
        <v>52</v>
      </c>
      <c r="F18" s="1" t="s">
        <v>25</v>
      </c>
      <c r="G18" s="1" t="s">
        <v>53</v>
      </c>
      <c r="H18" s="13" t="b">
        <v>1</v>
      </c>
    </row>
    <row r="19" spans="2:8" x14ac:dyDescent="0.3">
      <c r="B19" s="1">
        <v>15</v>
      </c>
      <c r="C19" s="1" t="s">
        <v>32</v>
      </c>
      <c r="D19" s="1" t="s">
        <v>33</v>
      </c>
      <c r="F19" s="1" t="s">
        <v>34</v>
      </c>
      <c r="G19" s="1" t="s">
        <v>35</v>
      </c>
      <c r="H19" s="13" t="b">
        <v>0</v>
      </c>
    </row>
    <row r="20" spans="2:8" x14ac:dyDescent="0.3">
      <c r="B20" s="1">
        <v>16</v>
      </c>
      <c r="C20" s="1" t="s">
        <v>49</v>
      </c>
      <c r="D20" s="1" t="s">
        <v>50</v>
      </c>
      <c r="F20" s="1" t="s">
        <v>34</v>
      </c>
      <c r="G20" s="1" t="s">
        <v>51</v>
      </c>
      <c r="H20" s="13" t="b">
        <v>0</v>
      </c>
    </row>
    <row r="21" spans="2:8" x14ac:dyDescent="0.3">
      <c r="B21" s="1">
        <v>17</v>
      </c>
      <c r="C21" s="1" t="s">
        <v>54</v>
      </c>
      <c r="D21" s="1" t="s">
        <v>55</v>
      </c>
      <c r="F21" s="1" t="s">
        <v>25</v>
      </c>
      <c r="G21" s="1" t="s">
        <v>56</v>
      </c>
      <c r="H21" s="13" t="b">
        <v>0</v>
      </c>
    </row>
    <row r="22" spans="2:8" x14ac:dyDescent="0.3">
      <c r="B22" s="1">
        <v>18</v>
      </c>
      <c r="C22" s="1" t="s">
        <v>57</v>
      </c>
      <c r="D22" s="1" t="s">
        <v>58</v>
      </c>
      <c r="F22" s="1" t="s">
        <v>34</v>
      </c>
      <c r="G22" s="1" t="s">
        <v>59</v>
      </c>
      <c r="H22" s="13" t="b">
        <v>0</v>
      </c>
    </row>
    <row r="23" spans="2:8" x14ac:dyDescent="0.3">
      <c r="B23" s="1">
        <v>19</v>
      </c>
      <c r="C23" s="1" t="s">
        <v>60</v>
      </c>
      <c r="D23" s="1" t="s">
        <v>61</v>
      </c>
      <c r="F23" s="1" t="s">
        <v>34</v>
      </c>
      <c r="G23" s="1" t="s">
        <v>62</v>
      </c>
      <c r="H23" s="13" t="b">
        <v>0</v>
      </c>
    </row>
    <row r="24" spans="2:8" x14ac:dyDescent="0.3">
      <c r="B24" s="1">
        <v>20</v>
      </c>
      <c r="C24" s="1" t="s">
        <v>63</v>
      </c>
      <c r="D24" s="1" t="s">
        <v>64</v>
      </c>
      <c r="F24" s="1" t="s">
        <v>25</v>
      </c>
      <c r="G24" s="1" t="s">
        <v>65</v>
      </c>
      <c r="H24" s="13" t="b">
        <v>0</v>
      </c>
    </row>
    <row r="25" spans="2:8" x14ac:dyDescent="0.3">
      <c r="B25" s="1">
        <v>21</v>
      </c>
      <c r="C25" s="1" t="s">
        <v>57</v>
      </c>
      <c r="D25" s="1" t="s">
        <v>58</v>
      </c>
      <c r="F25" s="1" t="s">
        <v>34</v>
      </c>
      <c r="G25" s="1" t="s">
        <v>59</v>
      </c>
      <c r="H25" s="13" t="b">
        <v>0</v>
      </c>
    </row>
    <row r="26" spans="2:8" x14ac:dyDescent="0.3">
      <c r="B26" s="1">
        <v>22</v>
      </c>
      <c r="C26" s="1" t="s">
        <v>60</v>
      </c>
      <c r="D26" s="1" t="s">
        <v>61</v>
      </c>
      <c r="F26" s="1" t="s">
        <v>34</v>
      </c>
      <c r="G26" s="1" t="s">
        <v>62</v>
      </c>
      <c r="H26" s="13" t="b">
        <v>0</v>
      </c>
    </row>
    <row r="27" spans="2:8" x14ac:dyDescent="0.3">
      <c r="B27" s="1">
        <v>23</v>
      </c>
      <c r="C27" s="1" t="s">
        <v>66</v>
      </c>
      <c r="D27" s="1" t="s">
        <v>67</v>
      </c>
      <c r="F27" s="1" t="s">
        <v>34</v>
      </c>
      <c r="G27" s="1" t="s">
        <v>68</v>
      </c>
      <c r="H27" s="13" t="b">
        <v>0</v>
      </c>
    </row>
    <row r="28" spans="2:8" x14ac:dyDescent="0.3">
      <c r="B28" s="1">
        <v>24</v>
      </c>
      <c r="C28" s="1" t="s">
        <v>69</v>
      </c>
      <c r="D28" s="1" t="s">
        <v>70</v>
      </c>
      <c r="F28" s="1" t="s">
        <v>25</v>
      </c>
      <c r="G28" s="1" t="s">
        <v>71</v>
      </c>
      <c r="H28" s="13" t="b">
        <v>0</v>
      </c>
    </row>
    <row r="29" spans="2:8" x14ac:dyDescent="0.3">
      <c r="B29" s="1">
        <v>25</v>
      </c>
      <c r="C29" s="1" t="s">
        <v>72</v>
      </c>
      <c r="F29" s="1" t="s">
        <v>25</v>
      </c>
      <c r="G29" s="1" t="s">
        <v>73</v>
      </c>
      <c r="H29" s="13" t="b">
        <v>0</v>
      </c>
    </row>
    <row r="30" spans="2:8" x14ac:dyDescent="0.3">
      <c r="B30" s="1">
        <v>26</v>
      </c>
      <c r="C30" s="1" t="s">
        <v>74</v>
      </c>
      <c r="D30" s="1" t="s">
        <v>75</v>
      </c>
      <c r="F30" s="1" t="s">
        <v>25</v>
      </c>
      <c r="G30" s="1" t="s">
        <v>76</v>
      </c>
      <c r="H30" s="13" t="b">
        <v>0</v>
      </c>
    </row>
    <row r="31" spans="2:8" x14ac:dyDescent="0.3">
      <c r="B31" s="1">
        <v>27</v>
      </c>
      <c r="C31" s="1" t="s">
        <v>39</v>
      </c>
      <c r="F31" s="1" t="s">
        <v>25</v>
      </c>
      <c r="G31" s="1" t="s">
        <v>40</v>
      </c>
      <c r="H31" s="13" t="b">
        <v>0</v>
      </c>
    </row>
    <row r="32" spans="2:8" x14ac:dyDescent="0.3">
      <c r="B32" s="1">
        <v>28</v>
      </c>
      <c r="C32" s="1" t="s">
        <v>39</v>
      </c>
      <c r="F32" s="1" t="s">
        <v>25</v>
      </c>
      <c r="G32" s="1" t="s">
        <v>40</v>
      </c>
      <c r="H32" s="13" t="b">
        <v>0</v>
      </c>
    </row>
    <row r="33" spans="2:8" x14ac:dyDescent="0.3">
      <c r="B33" s="1">
        <v>29</v>
      </c>
      <c r="C33" s="1" t="s">
        <v>77</v>
      </c>
      <c r="F33" s="1" t="s">
        <v>25</v>
      </c>
      <c r="G33" s="1" t="s">
        <v>78</v>
      </c>
      <c r="H33" s="13" t="b">
        <v>1</v>
      </c>
    </row>
    <row r="34" spans="2:8" x14ac:dyDescent="0.3">
      <c r="B34" s="1">
        <v>30</v>
      </c>
      <c r="C34" s="1" t="s">
        <v>32</v>
      </c>
      <c r="D34" s="1" t="s">
        <v>33</v>
      </c>
      <c r="F34" s="1" t="s">
        <v>34</v>
      </c>
      <c r="G34" s="1" t="s">
        <v>35</v>
      </c>
      <c r="H34" s="13" t="b">
        <v>0</v>
      </c>
    </row>
    <row r="35" spans="2:8" x14ac:dyDescent="0.3">
      <c r="B35" s="1">
        <v>31</v>
      </c>
      <c r="C35" s="1" t="s">
        <v>49</v>
      </c>
      <c r="D35" s="1" t="s">
        <v>50</v>
      </c>
      <c r="F35" s="1" t="s">
        <v>34</v>
      </c>
      <c r="G35" s="1" t="s">
        <v>51</v>
      </c>
      <c r="H35" s="13" t="b">
        <v>0</v>
      </c>
    </row>
    <row r="36" spans="2:8" x14ac:dyDescent="0.3">
      <c r="B36" s="1">
        <v>32</v>
      </c>
      <c r="C36" s="1" t="s">
        <v>54</v>
      </c>
      <c r="D36" s="1" t="s">
        <v>55</v>
      </c>
      <c r="F36" s="1" t="s">
        <v>25</v>
      </c>
      <c r="G36" s="1" t="s">
        <v>56</v>
      </c>
      <c r="H36" s="13" t="b">
        <v>0</v>
      </c>
    </row>
    <row r="37" spans="2:8" x14ac:dyDescent="0.3">
      <c r="B37" s="1">
        <v>33</v>
      </c>
      <c r="C37" s="1" t="s">
        <v>57</v>
      </c>
      <c r="D37" s="1" t="s">
        <v>58</v>
      </c>
      <c r="F37" s="1" t="s">
        <v>34</v>
      </c>
      <c r="G37" s="1" t="s">
        <v>59</v>
      </c>
      <c r="H37" s="13" t="b">
        <v>0</v>
      </c>
    </row>
    <row r="38" spans="2:8" x14ac:dyDescent="0.3">
      <c r="B38" s="1">
        <v>34</v>
      </c>
      <c r="C38" s="1" t="s">
        <v>60</v>
      </c>
      <c r="D38" s="1" t="s">
        <v>61</v>
      </c>
      <c r="F38" s="1" t="s">
        <v>34</v>
      </c>
      <c r="G38" s="1" t="s">
        <v>62</v>
      </c>
      <c r="H38" s="13" t="b">
        <v>0</v>
      </c>
    </row>
    <row r="39" spans="2:8" x14ac:dyDescent="0.3">
      <c r="B39" s="1">
        <v>35</v>
      </c>
      <c r="C39" s="1" t="s">
        <v>63</v>
      </c>
      <c r="D39" s="1" t="s">
        <v>64</v>
      </c>
      <c r="F39" s="1" t="s">
        <v>25</v>
      </c>
      <c r="G39" s="1" t="s">
        <v>65</v>
      </c>
      <c r="H39" s="13" t="b">
        <v>0</v>
      </c>
    </row>
    <row r="40" spans="2:8" x14ac:dyDescent="0.3">
      <c r="B40" s="1">
        <v>36</v>
      </c>
      <c r="C40" s="1" t="s">
        <v>57</v>
      </c>
      <c r="D40" s="1" t="s">
        <v>58</v>
      </c>
      <c r="F40" s="1" t="s">
        <v>34</v>
      </c>
      <c r="G40" s="1" t="s">
        <v>59</v>
      </c>
      <c r="H40" s="13" t="b">
        <v>0</v>
      </c>
    </row>
    <row r="41" spans="2:8" x14ac:dyDescent="0.3">
      <c r="B41" s="1">
        <v>37</v>
      </c>
      <c r="C41" s="1" t="s">
        <v>60</v>
      </c>
      <c r="D41" s="1" t="s">
        <v>61</v>
      </c>
      <c r="F41" s="1" t="s">
        <v>34</v>
      </c>
      <c r="G41" s="1" t="s">
        <v>62</v>
      </c>
      <c r="H41" s="13" t="b">
        <v>0</v>
      </c>
    </row>
    <row r="42" spans="2:8" x14ac:dyDescent="0.3">
      <c r="B42" s="1">
        <v>38</v>
      </c>
      <c r="C42" s="1" t="s">
        <v>66</v>
      </c>
      <c r="D42" s="1" t="s">
        <v>67</v>
      </c>
      <c r="F42" s="1" t="s">
        <v>34</v>
      </c>
      <c r="G42" s="1" t="s">
        <v>68</v>
      </c>
      <c r="H42" s="13" t="b">
        <v>0</v>
      </c>
    </row>
    <row r="43" spans="2:8" x14ac:dyDescent="0.3">
      <c r="B43" s="1">
        <v>39</v>
      </c>
      <c r="C43" s="1" t="s">
        <v>69</v>
      </c>
      <c r="D43" s="1" t="s">
        <v>70</v>
      </c>
      <c r="F43" s="1" t="s">
        <v>25</v>
      </c>
      <c r="G43" s="1" t="s">
        <v>71</v>
      </c>
      <c r="H43" s="13" t="b">
        <v>0</v>
      </c>
    </row>
    <row r="44" spans="2:8" x14ac:dyDescent="0.3">
      <c r="B44" s="1">
        <v>40</v>
      </c>
      <c r="C44" s="1" t="s">
        <v>72</v>
      </c>
      <c r="F44" s="1" t="s">
        <v>25</v>
      </c>
      <c r="G44" s="1" t="s">
        <v>73</v>
      </c>
      <c r="H44" s="13" t="b">
        <v>0</v>
      </c>
    </row>
    <row r="45" spans="2:8" x14ac:dyDescent="0.3">
      <c r="B45" s="1">
        <v>41</v>
      </c>
      <c r="C45" s="1" t="s">
        <v>74</v>
      </c>
      <c r="D45" s="1" t="s">
        <v>75</v>
      </c>
      <c r="F45" s="1" t="s">
        <v>25</v>
      </c>
      <c r="G45" s="1" t="s">
        <v>76</v>
      </c>
      <c r="H45" s="13" t="b">
        <v>0</v>
      </c>
    </row>
    <row r="46" spans="2:8" x14ac:dyDescent="0.3">
      <c r="B46" s="1">
        <v>42</v>
      </c>
      <c r="C46" s="1" t="s">
        <v>39</v>
      </c>
      <c r="F46" s="1" t="s">
        <v>25</v>
      </c>
      <c r="G46" s="1" t="s">
        <v>40</v>
      </c>
      <c r="H46" s="13" t="b">
        <v>0</v>
      </c>
    </row>
    <row r="47" spans="2:8" x14ac:dyDescent="0.3">
      <c r="B47" s="1">
        <v>43</v>
      </c>
      <c r="C47" s="1" t="s">
        <v>39</v>
      </c>
      <c r="F47" s="1" t="s">
        <v>25</v>
      </c>
      <c r="G47" s="1" t="s">
        <v>40</v>
      </c>
      <c r="H47" s="13" t="b">
        <v>0</v>
      </c>
    </row>
    <row r="48" spans="2:8" x14ac:dyDescent="0.3">
      <c r="B48" s="1">
        <v>44</v>
      </c>
      <c r="C48" s="1" t="s">
        <v>79</v>
      </c>
      <c r="F48" s="1" t="s">
        <v>25</v>
      </c>
      <c r="G48" s="1" t="s">
        <v>80</v>
      </c>
      <c r="H48" s="13" t="b">
        <v>1</v>
      </c>
    </row>
    <row r="49" spans="2:8" x14ac:dyDescent="0.3">
      <c r="B49" s="1">
        <v>45</v>
      </c>
      <c r="C49" s="1" t="s">
        <v>81</v>
      </c>
      <c r="D49" s="1" t="s">
        <v>82</v>
      </c>
      <c r="F49" s="1" t="s">
        <v>25</v>
      </c>
      <c r="G49" s="1" t="s">
        <v>83</v>
      </c>
      <c r="H49" s="13" t="b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AA7E4-C81C-41F6-9B23-EDEC8259EB99}">
  <sheetPr codeName="Sheet8"/>
  <dimension ref="B1:S242"/>
  <sheetViews>
    <sheetView showGridLines="0" zoomScale="70" zoomScaleNormal="70" workbookViewId="0">
      <pane ySplit="2" topLeftCell="A3" activePane="bottomLeft" state="frozenSplit"/>
      <selection activeCell="I13" sqref="I13"/>
      <selection pane="bottomLeft" activeCell="A3" sqref="A3"/>
    </sheetView>
  </sheetViews>
  <sheetFormatPr defaultColWidth="9.23046875" defaultRowHeight="18.75" x14ac:dyDescent="0.3"/>
  <cols>
    <col min="1" max="1" width="1.3046875" style="1" customWidth="1"/>
    <col min="2" max="2" width="4.15234375" style="1" bestFit="1" customWidth="1"/>
    <col min="3" max="3" width="27.3828125" style="1" customWidth="1"/>
    <col min="4" max="4" width="10.15234375" style="1" bestFit="1" customWidth="1"/>
    <col min="5" max="5" width="9.15234375" style="1" bestFit="1" customWidth="1"/>
    <col min="6" max="6" width="21.69140625" style="1" customWidth="1"/>
    <col min="7" max="7" width="49.07421875" style="1" customWidth="1"/>
    <col min="8" max="8" width="8.921875" style="1" bestFit="1" customWidth="1"/>
    <col min="9" max="9" width="8.921875" style="1" customWidth="1"/>
    <col min="10" max="10" width="8.53515625" style="1" customWidth="1"/>
    <col min="11" max="11" width="9.23046875" style="1"/>
    <col min="12" max="12" width="2.4609375" style="1" bestFit="1" customWidth="1"/>
    <col min="13" max="13" width="2.3046875" style="1" bestFit="1" customWidth="1"/>
    <col min="14" max="14" width="3.3828125" style="1" customWidth="1"/>
    <col min="15" max="16" width="1.4609375" style="1" bestFit="1" customWidth="1"/>
    <col min="17" max="17" width="2.23046875" style="1" customWidth="1"/>
    <col min="18" max="18" width="4.3046875" style="1" bestFit="1" customWidth="1"/>
    <col min="19" max="19" width="3.84375" style="1" bestFit="1" customWidth="1"/>
    <col min="20" max="16384" width="9.23046875" style="1"/>
  </cols>
  <sheetData>
    <row r="1" spans="2:19" ht="75" customHeight="1" x14ac:dyDescent="0.3">
      <c r="O1" s="5" t="s">
        <v>681</v>
      </c>
    </row>
    <row r="2" spans="2:19" ht="20.25" thickBot="1" x14ac:dyDescent="0.35">
      <c r="B2" s="12" t="s">
        <v>11</v>
      </c>
      <c r="C2" s="12"/>
      <c r="D2" s="12"/>
      <c r="E2" s="12"/>
      <c r="F2" s="12"/>
      <c r="G2" s="12"/>
      <c r="H2" s="12"/>
      <c r="I2" s="12"/>
      <c r="J2" s="12"/>
      <c r="R2" s="19" t="s">
        <v>679</v>
      </c>
      <c r="S2" s="20" t="s">
        <v>680</v>
      </c>
    </row>
    <row r="3" spans="2:19" ht="21" thickTop="1" x14ac:dyDescent="0.3">
      <c r="E3" s="14" t="s">
        <v>84</v>
      </c>
      <c r="R3" s="21"/>
      <c r="S3" s="22"/>
    </row>
    <row r="4" spans="2:19" x14ac:dyDescent="0.3">
      <c r="B4" s="5" t="s">
        <v>20</v>
      </c>
      <c r="C4" s="5" t="s">
        <v>21</v>
      </c>
      <c r="D4" s="5" t="s">
        <v>15</v>
      </c>
      <c r="E4" s="5" t="s">
        <v>22</v>
      </c>
      <c r="F4" s="5" t="s">
        <v>16</v>
      </c>
      <c r="G4" s="5" t="s">
        <v>17</v>
      </c>
      <c r="H4" s="5" t="s">
        <v>18</v>
      </c>
      <c r="I4" s="5" t="s">
        <v>85</v>
      </c>
    </row>
    <row r="5" spans="2:19" x14ac:dyDescent="0.3">
      <c r="B5" s="1" cm="1">
        <f t="array" ref="B5:B242">_xlfn.SEQUENCE(COUNTA(_xlfn._TRO_ALL(C:C))-1)</f>
        <v>1</v>
      </c>
      <c r="C5" s="1" t="s">
        <v>86</v>
      </c>
      <c r="D5" s="1" t="s">
        <v>87</v>
      </c>
      <c r="F5" s="1" t="s">
        <v>25</v>
      </c>
      <c r="G5" s="1" t="s">
        <v>26</v>
      </c>
      <c r="H5" s="13" t="b">
        <v>1</v>
      </c>
      <c r="I5" s="1">
        <v>1</v>
      </c>
      <c r="L5" s="1" cm="1">
        <f t="array" ref="L5:M17">_xlfn._xlws.SORT(_xlfn.LET(_xlpm.cnt,CountEachUniqueValue(_xlfn._TRO_TRAILING(I5:I4902)),_xlfn._xlws.FILTER(_xlpm.cnt,_xlfn.TAKE(_xlpm.cnt,,1)&lt;&gt;"")))</f>
        <v>1</v>
      </c>
      <c r="M5" s="1">
        <v>9</v>
      </c>
    </row>
    <row r="6" spans="2:19" ht="37.5" x14ac:dyDescent="0.3">
      <c r="B6" s="1">
        <v>2</v>
      </c>
      <c r="C6" s="1" t="s">
        <v>88</v>
      </c>
      <c r="F6" s="1" t="s">
        <v>25</v>
      </c>
      <c r="G6" s="10" t="s">
        <v>89</v>
      </c>
      <c r="H6" s="13" t="b">
        <v>0</v>
      </c>
      <c r="I6" s="1">
        <v>1</v>
      </c>
      <c r="L6" s="1">
        <v>2</v>
      </c>
      <c r="M6" s="1">
        <v>17</v>
      </c>
    </row>
    <row r="7" spans="2:19" x14ac:dyDescent="0.3">
      <c r="B7" s="1">
        <v>3</v>
      </c>
      <c r="C7" s="1" t="s">
        <v>575</v>
      </c>
      <c r="D7" s="1" t="s">
        <v>576</v>
      </c>
      <c r="F7" s="1" t="s">
        <v>25</v>
      </c>
      <c r="G7" s="1" t="s">
        <v>577</v>
      </c>
      <c r="H7" s="13" t="b">
        <v>0</v>
      </c>
      <c r="I7" s="1">
        <v>6</v>
      </c>
      <c r="L7" s="1">
        <v>3</v>
      </c>
      <c r="M7" s="1">
        <v>19</v>
      </c>
    </row>
    <row r="8" spans="2:19" x14ac:dyDescent="0.3">
      <c r="B8" s="1">
        <v>4</v>
      </c>
      <c r="C8" s="1" t="s">
        <v>571</v>
      </c>
      <c r="D8" s="1" t="s">
        <v>572</v>
      </c>
      <c r="F8" s="1" t="s">
        <v>25</v>
      </c>
      <c r="G8" s="1" t="s">
        <v>26</v>
      </c>
      <c r="H8" s="13" t="b">
        <v>1</v>
      </c>
      <c r="I8" s="1">
        <v>6</v>
      </c>
      <c r="L8" s="1">
        <v>4</v>
      </c>
      <c r="M8" s="1">
        <v>3</v>
      </c>
    </row>
    <row r="9" spans="2:19" x14ac:dyDescent="0.3">
      <c r="B9" s="1">
        <v>5</v>
      </c>
      <c r="C9" s="17" t="s">
        <v>90</v>
      </c>
      <c r="D9" s="1" t="s">
        <v>91</v>
      </c>
      <c r="F9" s="1" t="s">
        <v>25</v>
      </c>
      <c r="G9" s="1" t="s">
        <v>92</v>
      </c>
      <c r="H9" s="13" t="b">
        <v>0</v>
      </c>
      <c r="I9" s="1">
        <v>1</v>
      </c>
      <c r="L9" s="1">
        <v>5</v>
      </c>
      <c r="M9" s="1">
        <v>16</v>
      </c>
    </row>
    <row r="10" spans="2:19" x14ac:dyDescent="0.3">
      <c r="B10" s="1">
        <v>6</v>
      </c>
      <c r="C10" s="1" t="s">
        <v>533</v>
      </c>
      <c r="D10" s="1" t="s">
        <v>534</v>
      </c>
      <c r="F10" s="1" t="s">
        <v>25</v>
      </c>
      <c r="G10" s="1" t="s">
        <v>535</v>
      </c>
      <c r="H10" s="13" t="b">
        <v>0</v>
      </c>
      <c r="I10" s="1">
        <v>13</v>
      </c>
      <c r="L10" s="1">
        <v>6</v>
      </c>
      <c r="M10" s="1">
        <v>5</v>
      </c>
    </row>
    <row r="11" spans="2:19" x14ac:dyDescent="0.3">
      <c r="B11" s="1">
        <v>7</v>
      </c>
      <c r="C11" s="1" t="s">
        <v>682</v>
      </c>
      <c r="D11" s="1" t="s">
        <v>683</v>
      </c>
      <c r="E11" s="18"/>
      <c r="F11" s="1" t="s">
        <v>25</v>
      </c>
      <c r="G11" s="1" t="s">
        <v>684</v>
      </c>
      <c r="H11" s="13" t="b">
        <v>0</v>
      </c>
      <c r="I11" s="1">
        <v>13</v>
      </c>
      <c r="L11" s="1">
        <v>7</v>
      </c>
      <c r="M11" s="1">
        <v>18</v>
      </c>
    </row>
    <row r="12" spans="2:19" x14ac:dyDescent="0.3">
      <c r="B12" s="1">
        <v>8</v>
      </c>
      <c r="C12" s="1" t="s">
        <v>93</v>
      </c>
      <c r="D12" s="1" t="s">
        <v>94</v>
      </c>
      <c r="E12" s="1" t="s">
        <v>95</v>
      </c>
      <c r="F12" s="1" t="s">
        <v>25</v>
      </c>
      <c r="G12" s="1" t="s">
        <v>96</v>
      </c>
      <c r="H12" s="13" t="b">
        <v>0</v>
      </c>
      <c r="I12" s="1">
        <v>2</v>
      </c>
      <c r="L12" s="1">
        <v>8</v>
      </c>
      <c r="M12" s="1">
        <v>54</v>
      </c>
    </row>
    <row r="13" spans="2:19" x14ac:dyDescent="0.3">
      <c r="B13" s="1">
        <v>9</v>
      </c>
      <c r="C13" s="1" t="s">
        <v>506</v>
      </c>
      <c r="G13" s="1" t="s">
        <v>507</v>
      </c>
      <c r="H13" s="13" t="b">
        <v>1</v>
      </c>
      <c r="I13" s="1">
        <v>3</v>
      </c>
      <c r="L13" s="1">
        <v>9</v>
      </c>
      <c r="M13" s="1">
        <v>38</v>
      </c>
    </row>
    <row r="14" spans="2:19" x14ac:dyDescent="0.3">
      <c r="B14" s="1">
        <v>10</v>
      </c>
      <c r="C14" s="1" t="s">
        <v>118</v>
      </c>
      <c r="D14" s="1" t="s">
        <v>119</v>
      </c>
      <c r="F14" s="1" t="s">
        <v>25</v>
      </c>
      <c r="G14" s="1" t="s">
        <v>505</v>
      </c>
      <c r="H14" s="13" t="b">
        <v>0</v>
      </c>
      <c r="I14" s="1">
        <v>2</v>
      </c>
      <c r="L14" s="1">
        <v>10</v>
      </c>
      <c r="M14" s="1">
        <v>1</v>
      </c>
    </row>
    <row r="15" spans="2:19" ht="37.5" x14ac:dyDescent="0.3">
      <c r="B15" s="1">
        <v>11</v>
      </c>
      <c r="C15" s="1" t="s">
        <v>97</v>
      </c>
      <c r="D15" s="1" t="s">
        <v>98</v>
      </c>
      <c r="E15" s="1" t="s">
        <v>99</v>
      </c>
      <c r="F15" s="1" t="s">
        <v>25</v>
      </c>
      <c r="G15" s="10" t="s">
        <v>100</v>
      </c>
      <c r="H15" s="13" t="b">
        <v>0</v>
      </c>
      <c r="I15" s="1">
        <v>2</v>
      </c>
      <c r="L15" s="1">
        <v>11</v>
      </c>
      <c r="M15" s="1">
        <v>19</v>
      </c>
    </row>
    <row r="16" spans="2:19" x14ac:dyDescent="0.3">
      <c r="B16" s="1">
        <v>12</v>
      </c>
      <c r="C16" s="1" t="s">
        <v>509</v>
      </c>
      <c r="G16" s="1" t="s">
        <v>508</v>
      </c>
      <c r="H16" s="13" t="b">
        <v>1</v>
      </c>
      <c r="I16" s="1">
        <v>3</v>
      </c>
      <c r="L16" s="1">
        <v>12</v>
      </c>
      <c r="M16" s="1">
        <v>29</v>
      </c>
    </row>
    <row r="17" spans="2:13" x14ac:dyDescent="0.3">
      <c r="B17" s="1">
        <v>13</v>
      </c>
      <c r="C17" s="1" t="s">
        <v>101</v>
      </c>
      <c r="D17" s="1" t="s">
        <v>102</v>
      </c>
      <c r="F17" s="1" t="s">
        <v>25</v>
      </c>
      <c r="G17" s="1" t="s">
        <v>103</v>
      </c>
      <c r="H17" s="13" t="b">
        <v>0</v>
      </c>
      <c r="I17" s="1">
        <v>2</v>
      </c>
      <c r="L17" s="1">
        <v>13</v>
      </c>
      <c r="M17" s="1">
        <v>10</v>
      </c>
    </row>
    <row r="18" spans="2:13" x14ac:dyDescent="0.3">
      <c r="B18" s="1">
        <v>14</v>
      </c>
      <c r="C18" s="1" t="s">
        <v>104</v>
      </c>
      <c r="D18" s="1" t="s">
        <v>105</v>
      </c>
      <c r="F18" s="1" t="s">
        <v>106</v>
      </c>
      <c r="G18" s="1" t="s">
        <v>107</v>
      </c>
      <c r="H18" s="13" t="b">
        <v>0</v>
      </c>
      <c r="I18" s="1">
        <v>2</v>
      </c>
    </row>
    <row r="19" spans="2:13" x14ac:dyDescent="0.3">
      <c r="B19" s="1">
        <v>15</v>
      </c>
      <c r="C19" s="17" t="s">
        <v>108</v>
      </c>
      <c r="D19" s="1" t="s">
        <v>109</v>
      </c>
      <c r="F19" s="1" t="s">
        <v>25</v>
      </c>
      <c r="G19" s="1" t="s">
        <v>110</v>
      </c>
      <c r="H19" s="13" t="b">
        <v>0</v>
      </c>
      <c r="I19" s="1">
        <v>1</v>
      </c>
    </row>
    <row r="20" spans="2:13" x14ac:dyDescent="0.3">
      <c r="B20" s="1">
        <v>16</v>
      </c>
      <c r="C20" s="1" t="s">
        <v>533</v>
      </c>
      <c r="D20" s="1" t="s">
        <v>534</v>
      </c>
      <c r="F20" s="1" t="s">
        <v>25</v>
      </c>
      <c r="G20" s="1" t="s">
        <v>535</v>
      </c>
      <c r="H20" s="13" t="b">
        <v>0</v>
      </c>
      <c r="I20" s="1">
        <v>13</v>
      </c>
    </row>
    <row r="21" spans="2:13" x14ac:dyDescent="0.3">
      <c r="B21" s="1">
        <v>17</v>
      </c>
      <c r="C21" s="1" t="s">
        <v>682</v>
      </c>
      <c r="D21" s="1" t="s">
        <v>683</v>
      </c>
      <c r="E21" s="18"/>
      <c r="F21" s="1" t="s">
        <v>25</v>
      </c>
      <c r="G21" s="1" t="s">
        <v>684</v>
      </c>
      <c r="H21" s="13" t="b">
        <v>0</v>
      </c>
      <c r="I21" s="1">
        <v>13</v>
      </c>
    </row>
    <row r="22" spans="2:13" x14ac:dyDescent="0.3">
      <c r="B22" s="1">
        <v>18</v>
      </c>
      <c r="C22" s="1" t="s">
        <v>111</v>
      </c>
      <c r="D22" s="1" t="s">
        <v>112</v>
      </c>
      <c r="E22" s="1" t="s">
        <v>113</v>
      </c>
      <c r="F22" s="1" t="s">
        <v>25</v>
      </c>
      <c r="G22" s="1" t="s">
        <v>114</v>
      </c>
      <c r="H22" s="13" t="b">
        <v>0</v>
      </c>
      <c r="I22" s="1">
        <v>2</v>
      </c>
    </row>
    <row r="23" spans="2:13" x14ac:dyDescent="0.3">
      <c r="B23" s="1">
        <v>19</v>
      </c>
      <c r="C23" s="1" t="s">
        <v>510</v>
      </c>
      <c r="G23" s="1" t="s">
        <v>511</v>
      </c>
      <c r="H23" s="13" t="b">
        <v>1</v>
      </c>
      <c r="I23" s="1">
        <v>3</v>
      </c>
    </row>
    <row r="24" spans="2:13" x14ac:dyDescent="0.3">
      <c r="B24" s="1">
        <v>20</v>
      </c>
      <c r="C24" s="1" t="s">
        <v>115</v>
      </c>
      <c r="D24" s="1" t="s">
        <v>116</v>
      </c>
      <c r="F24" s="1" t="s">
        <v>25</v>
      </c>
      <c r="G24" s="1" t="s">
        <v>117</v>
      </c>
      <c r="H24" s="13" t="b">
        <v>0</v>
      </c>
      <c r="I24" s="1">
        <v>2</v>
      </c>
    </row>
    <row r="25" spans="2:13" x14ac:dyDescent="0.3">
      <c r="B25" s="1">
        <v>21</v>
      </c>
      <c r="C25" s="1" t="s">
        <v>514</v>
      </c>
      <c r="D25" s="1" t="s">
        <v>516</v>
      </c>
      <c r="F25" s="1" t="s">
        <v>25</v>
      </c>
      <c r="G25" s="1" t="s">
        <v>641</v>
      </c>
      <c r="H25" s="13" t="b">
        <v>0</v>
      </c>
      <c r="I25" s="1">
        <v>2</v>
      </c>
    </row>
    <row r="26" spans="2:13" x14ac:dyDescent="0.3">
      <c r="B26" s="1">
        <v>22</v>
      </c>
      <c r="C26" s="1" t="s">
        <v>639</v>
      </c>
      <c r="F26" s="1" t="s">
        <v>25</v>
      </c>
      <c r="G26" s="1" t="s">
        <v>640</v>
      </c>
      <c r="H26" s="13" t="b">
        <v>1</v>
      </c>
      <c r="I26" s="1">
        <v>9</v>
      </c>
    </row>
    <row r="27" spans="2:13" x14ac:dyDescent="0.3">
      <c r="B27" s="1">
        <v>23</v>
      </c>
      <c r="C27" s="1" t="s">
        <v>533</v>
      </c>
      <c r="D27" s="1" t="s">
        <v>534</v>
      </c>
      <c r="F27" s="1" t="s">
        <v>25</v>
      </c>
      <c r="G27" s="1" t="s">
        <v>535</v>
      </c>
      <c r="H27" s="13" t="b">
        <v>0</v>
      </c>
      <c r="I27" s="1">
        <v>6</v>
      </c>
    </row>
    <row r="28" spans="2:13" x14ac:dyDescent="0.3">
      <c r="B28" s="1">
        <v>24</v>
      </c>
      <c r="C28" s="1" t="s">
        <v>515</v>
      </c>
      <c r="D28" s="1" t="s">
        <v>517</v>
      </c>
      <c r="F28" s="1" t="s">
        <v>25</v>
      </c>
      <c r="G28" s="1" t="s">
        <v>642</v>
      </c>
      <c r="H28" s="13" t="b">
        <v>0</v>
      </c>
      <c r="I28" s="1">
        <v>2</v>
      </c>
    </row>
    <row r="29" spans="2:13" x14ac:dyDescent="0.3">
      <c r="B29" s="1">
        <v>25</v>
      </c>
      <c r="C29" s="1" t="s">
        <v>123</v>
      </c>
      <c r="D29" s="1" t="s">
        <v>124</v>
      </c>
      <c r="F29" s="1" t="s">
        <v>25</v>
      </c>
      <c r="G29" s="1" t="s">
        <v>125</v>
      </c>
      <c r="H29" s="13" t="b">
        <v>0</v>
      </c>
      <c r="I29" s="1">
        <v>2</v>
      </c>
    </row>
    <row r="30" spans="2:13" x14ac:dyDescent="0.3">
      <c r="B30" s="1">
        <v>26</v>
      </c>
      <c r="C30" s="1" t="s">
        <v>593</v>
      </c>
      <c r="D30" s="1" t="s">
        <v>126</v>
      </c>
      <c r="F30" s="1" t="s">
        <v>25</v>
      </c>
      <c r="G30" s="1" t="s">
        <v>127</v>
      </c>
      <c r="H30" s="13" t="b">
        <v>1</v>
      </c>
      <c r="I30" s="1">
        <v>2</v>
      </c>
    </row>
    <row r="31" spans="2:13" x14ac:dyDescent="0.3">
      <c r="B31" s="1">
        <v>27</v>
      </c>
      <c r="C31" s="1" t="s">
        <v>128</v>
      </c>
      <c r="D31" s="1" t="s">
        <v>129</v>
      </c>
      <c r="F31" s="1" t="s">
        <v>130</v>
      </c>
      <c r="G31" s="1" t="s">
        <v>131</v>
      </c>
      <c r="H31" s="13" t="b">
        <v>0</v>
      </c>
      <c r="I31" s="1">
        <v>2</v>
      </c>
    </row>
    <row r="32" spans="2:13" x14ac:dyDescent="0.3">
      <c r="B32" s="1">
        <v>28</v>
      </c>
      <c r="C32" s="1" t="s">
        <v>101</v>
      </c>
      <c r="D32" s="1" t="s">
        <v>102</v>
      </c>
      <c r="F32" s="1" t="s">
        <v>25</v>
      </c>
      <c r="G32" s="1" t="s">
        <v>103</v>
      </c>
      <c r="H32" s="13" t="b">
        <v>0</v>
      </c>
      <c r="I32" s="1">
        <v>2</v>
      </c>
    </row>
    <row r="33" spans="2:9" x14ac:dyDescent="0.3">
      <c r="B33" s="1">
        <v>29</v>
      </c>
      <c r="C33" s="1" t="s">
        <v>104</v>
      </c>
      <c r="D33" s="1" t="s">
        <v>105</v>
      </c>
      <c r="F33" s="1" t="s">
        <v>106</v>
      </c>
      <c r="G33" s="1" t="s">
        <v>107</v>
      </c>
      <c r="H33" s="13" t="b">
        <v>0</v>
      </c>
      <c r="I33" s="1">
        <v>2</v>
      </c>
    </row>
    <row r="34" spans="2:9" x14ac:dyDescent="0.3">
      <c r="B34" s="1">
        <v>30</v>
      </c>
      <c r="C34" s="17" t="s">
        <v>132</v>
      </c>
      <c r="D34" s="1" t="s">
        <v>133</v>
      </c>
      <c r="F34" s="1" t="s">
        <v>25</v>
      </c>
      <c r="G34" s="1" t="s">
        <v>134</v>
      </c>
      <c r="H34" s="13" t="b">
        <v>0</v>
      </c>
      <c r="I34" s="1">
        <v>1</v>
      </c>
    </row>
    <row r="35" spans="2:9" x14ac:dyDescent="0.3">
      <c r="B35" s="1">
        <v>31</v>
      </c>
      <c r="C35" s="1" t="s">
        <v>533</v>
      </c>
      <c r="D35" s="1" t="s">
        <v>534</v>
      </c>
      <c r="F35" s="1" t="s">
        <v>25</v>
      </c>
      <c r="G35" s="1" t="s">
        <v>535</v>
      </c>
      <c r="H35" s="13" t="b">
        <v>0</v>
      </c>
      <c r="I35" s="1">
        <v>13</v>
      </c>
    </row>
    <row r="36" spans="2:9" x14ac:dyDescent="0.3">
      <c r="B36" s="1">
        <v>32</v>
      </c>
      <c r="C36" s="1" t="s">
        <v>682</v>
      </c>
      <c r="D36" s="1" t="s">
        <v>683</v>
      </c>
      <c r="E36" s="18"/>
      <c r="F36" s="1" t="s">
        <v>25</v>
      </c>
      <c r="G36" s="1" t="s">
        <v>684</v>
      </c>
      <c r="H36" s="13" t="b">
        <v>0</v>
      </c>
      <c r="I36" s="1">
        <v>13</v>
      </c>
    </row>
    <row r="37" spans="2:9" x14ac:dyDescent="0.3">
      <c r="B37" s="1">
        <v>33</v>
      </c>
      <c r="C37" s="1" t="s">
        <v>111</v>
      </c>
      <c r="D37" s="1" t="s">
        <v>112</v>
      </c>
      <c r="E37" s="1" t="s">
        <v>113</v>
      </c>
      <c r="F37" s="1" t="s">
        <v>25</v>
      </c>
      <c r="G37" s="1" t="s">
        <v>114</v>
      </c>
      <c r="H37" s="13" t="b">
        <v>0</v>
      </c>
      <c r="I37" s="1">
        <v>2</v>
      </c>
    </row>
    <row r="38" spans="2:9" x14ac:dyDescent="0.3">
      <c r="B38" s="1">
        <v>34</v>
      </c>
      <c r="C38" s="1" t="s">
        <v>510</v>
      </c>
      <c r="F38" s="1" t="s">
        <v>25</v>
      </c>
      <c r="G38" s="1" t="s">
        <v>511</v>
      </c>
      <c r="H38" s="13" t="b">
        <v>1</v>
      </c>
      <c r="I38" s="1">
        <v>3</v>
      </c>
    </row>
    <row r="39" spans="2:9" x14ac:dyDescent="0.3">
      <c r="B39" s="1">
        <v>35</v>
      </c>
      <c r="C39" s="1" t="s">
        <v>115</v>
      </c>
      <c r="D39" s="1" t="s">
        <v>116</v>
      </c>
      <c r="F39" s="1" t="s">
        <v>25</v>
      </c>
      <c r="G39" s="1" t="s">
        <v>117</v>
      </c>
      <c r="H39" s="13" t="b">
        <v>0</v>
      </c>
      <c r="I39" s="1">
        <v>2</v>
      </c>
    </row>
    <row r="40" spans="2:9" x14ac:dyDescent="0.3">
      <c r="B40" s="1">
        <v>36</v>
      </c>
      <c r="C40" s="1" t="s">
        <v>514</v>
      </c>
      <c r="D40" s="1" t="s">
        <v>516</v>
      </c>
      <c r="F40" s="1" t="s">
        <v>25</v>
      </c>
      <c r="G40" s="1" t="s">
        <v>641</v>
      </c>
      <c r="H40" s="13" t="b">
        <v>0</v>
      </c>
      <c r="I40" s="1">
        <v>3</v>
      </c>
    </row>
    <row r="41" spans="2:9" x14ac:dyDescent="0.3">
      <c r="B41" s="1">
        <v>37</v>
      </c>
      <c r="C41" s="1" t="s">
        <v>639</v>
      </c>
      <c r="F41" s="1" t="s">
        <v>25</v>
      </c>
      <c r="G41" s="1" t="s">
        <v>640</v>
      </c>
      <c r="H41" s="13" t="b">
        <v>1</v>
      </c>
      <c r="I41" s="1">
        <v>9</v>
      </c>
    </row>
    <row r="42" spans="2:9" x14ac:dyDescent="0.3">
      <c r="B42" s="1">
        <v>38</v>
      </c>
      <c r="C42" s="1" t="s">
        <v>533</v>
      </c>
      <c r="D42" s="1" t="s">
        <v>534</v>
      </c>
      <c r="F42" s="1" t="s">
        <v>25</v>
      </c>
      <c r="G42" s="1" t="s">
        <v>535</v>
      </c>
      <c r="H42" s="13" t="b">
        <v>0</v>
      </c>
      <c r="I42" s="1">
        <v>6</v>
      </c>
    </row>
    <row r="43" spans="2:9" x14ac:dyDescent="0.3">
      <c r="B43" s="1">
        <v>39</v>
      </c>
      <c r="C43" s="1" t="s">
        <v>515</v>
      </c>
      <c r="D43" s="1" t="s">
        <v>517</v>
      </c>
      <c r="F43" s="1" t="s">
        <v>25</v>
      </c>
      <c r="G43" s="1" t="s">
        <v>642</v>
      </c>
      <c r="H43" s="13" t="b">
        <v>0</v>
      </c>
      <c r="I43" s="1">
        <v>3</v>
      </c>
    </row>
    <row r="44" spans="2:9" x14ac:dyDescent="0.3">
      <c r="B44" s="1">
        <v>40</v>
      </c>
      <c r="C44" s="1" t="s">
        <v>736</v>
      </c>
      <c r="D44" s="1" t="s">
        <v>70</v>
      </c>
      <c r="F44" s="1" t="s">
        <v>25</v>
      </c>
      <c r="G44" s="1" t="s">
        <v>71</v>
      </c>
      <c r="H44" s="13" t="b">
        <v>0</v>
      </c>
      <c r="I44" s="1">
        <v>3</v>
      </c>
    </row>
    <row r="45" spans="2:9" x14ac:dyDescent="0.3">
      <c r="B45" s="1">
        <v>41</v>
      </c>
      <c r="C45" s="1" t="s">
        <v>120</v>
      </c>
      <c r="D45" s="1" t="s">
        <v>121</v>
      </c>
      <c r="F45" s="1" t="s">
        <v>25</v>
      </c>
      <c r="G45" s="1" t="s">
        <v>122</v>
      </c>
      <c r="H45" s="13" t="b">
        <v>0</v>
      </c>
      <c r="I45" s="1">
        <v>3</v>
      </c>
    </row>
    <row r="46" spans="2:9" x14ac:dyDescent="0.3">
      <c r="B46" s="1">
        <v>42</v>
      </c>
      <c r="C46" s="1" t="s">
        <v>123</v>
      </c>
      <c r="D46" s="1" t="s">
        <v>124</v>
      </c>
      <c r="F46" s="1" t="s">
        <v>25</v>
      </c>
      <c r="G46" s="1" t="s">
        <v>125</v>
      </c>
      <c r="H46" s="13" t="b">
        <v>0</v>
      </c>
      <c r="I46" s="1">
        <v>3</v>
      </c>
    </row>
    <row r="47" spans="2:9" ht="37.5" x14ac:dyDescent="0.3">
      <c r="B47" s="1">
        <v>43</v>
      </c>
      <c r="C47" s="1" t="s">
        <v>97</v>
      </c>
      <c r="D47" s="1" t="s">
        <v>98</v>
      </c>
      <c r="E47" s="1" t="s">
        <v>99</v>
      </c>
      <c r="F47" s="1" t="s">
        <v>25</v>
      </c>
      <c r="G47" s="10" t="s">
        <v>100</v>
      </c>
      <c r="H47" s="13" t="b">
        <v>0</v>
      </c>
      <c r="I47" s="1">
        <v>2</v>
      </c>
    </row>
    <row r="48" spans="2:9" x14ac:dyDescent="0.3">
      <c r="B48" s="1">
        <v>44</v>
      </c>
      <c r="C48" s="1" t="s">
        <v>509</v>
      </c>
      <c r="G48" s="1" t="s">
        <v>508</v>
      </c>
      <c r="H48" s="13" t="b">
        <v>1</v>
      </c>
      <c r="I48" s="1">
        <v>3</v>
      </c>
    </row>
    <row r="49" spans="2:9" x14ac:dyDescent="0.3">
      <c r="B49" s="1">
        <v>45</v>
      </c>
      <c r="C49" s="1" t="s">
        <v>101</v>
      </c>
      <c r="D49" s="1" t="s">
        <v>102</v>
      </c>
      <c r="F49" s="1" t="s">
        <v>25</v>
      </c>
      <c r="G49" s="1" t="s">
        <v>103</v>
      </c>
      <c r="H49" s="13" t="b">
        <v>0</v>
      </c>
      <c r="I49" s="1">
        <v>3</v>
      </c>
    </row>
    <row r="50" spans="2:9" x14ac:dyDescent="0.3">
      <c r="B50" s="1">
        <v>46</v>
      </c>
      <c r="C50" s="1" t="s">
        <v>118</v>
      </c>
      <c r="D50" s="1" t="s">
        <v>119</v>
      </c>
      <c r="F50" s="1" t="s">
        <v>25</v>
      </c>
      <c r="G50" s="1" t="s">
        <v>505</v>
      </c>
      <c r="H50" s="13" t="b">
        <v>0</v>
      </c>
      <c r="I50" s="1">
        <v>3</v>
      </c>
    </row>
    <row r="51" spans="2:9" x14ac:dyDescent="0.3">
      <c r="B51" s="1">
        <v>47</v>
      </c>
      <c r="C51" s="1" t="s">
        <v>512</v>
      </c>
      <c r="G51" s="1" t="s">
        <v>513</v>
      </c>
      <c r="H51" s="13" t="b">
        <v>1</v>
      </c>
      <c r="I51" s="1">
        <v>3</v>
      </c>
    </row>
    <row r="52" spans="2:9" x14ac:dyDescent="0.3">
      <c r="B52" s="1">
        <v>48</v>
      </c>
      <c r="C52" s="1" t="s">
        <v>54</v>
      </c>
      <c r="D52" s="1" t="s">
        <v>55</v>
      </c>
      <c r="F52" s="1" t="s">
        <v>25</v>
      </c>
      <c r="G52" s="1" t="s">
        <v>56</v>
      </c>
      <c r="H52" s="13" t="b">
        <v>0</v>
      </c>
      <c r="I52" s="1">
        <v>3</v>
      </c>
    </row>
    <row r="53" spans="2:9" x14ac:dyDescent="0.3">
      <c r="B53" s="1">
        <v>49</v>
      </c>
      <c r="C53" s="1" t="s">
        <v>594</v>
      </c>
      <c r="D53" s="1" t="s">
        <v>518</v>
      </c>
      <c r="F53" s="1" t="s">
        <v>25</v>
      </c>
      <c r="G53" s="1" t="s">
        <v>519</v>
      </c>
      <c r="H53" s="13" t="b">
        <v>0</v>
      </c>
      <c r="I53" s="1">
        <v>3</v>
      </c>
    </row>
    <row r="54" spans="2:9" x14ac:dyDescent="0.3">
      <c r="B54" s="1">
        <v>50</v>
      </c>
      <c r="C54" s="1" t="s">
        <v>101</v>
      </c>
      <c r="D54" s="1" t="s">
        <v>102</v>
      </c>
      <c r="F54" s="1" t="s">
        <v>25</v>
      </c>
      <c r="G54" s="1" t="s">
        <v>103</v>
      </c>
      <c r="H54" s="13" t="b">
        <v>0</v>
      </c>
      <c r="I54" s="1">
        <v>3</v>
      </c>
    </row>
    <row r="55" spans="2:9" x14ac:dyDescent="0.3">
      <c r="B55" s="1">
        <v>51</v>
      </c>
      <c r="C55" s="1" t="s">
        <v>104</v>
      </c>
      <c r="D55" s="1" t="s">
        <v>105</v>
      </c>
      <c r="F55" s="1" t="s">
        <v>106</v>
      </c>
      <c r="G55" s="1" t="s">
        <v>107</v>
      </c>
      <c r="H55" s="13" t="b">
        <v>0</v>
      </c>
      <c r="I55" s="1">
        <v>3</v>
      </c>
    </row>
    <row r="56" spans="2:9" x14ac:dyDescent="0.3">
      <c r="B56" s="1">
        <v>52</v>
      </c>
      <c r="C56" s="17" t="s">
        <v>520</v>
      </c>
      <c r="D56" s="1" t="s">
        <v>521</v>
      </c>
      <c r="F56" s="1" t="s">
        <v>25</v>
      </c>
      <c r="G56" s="1" t="s">
        <v>522</v>
      </c>
      <c r="H56" s="13" t="b">
        <v>0</v>
      </c>
      <c r="I56" s="1">
        <v>1</v>
      </c>
    </row>
    <row r="57" spans="2:9" x14ac:dyDescent="0.3">
      <c r="B57" s="1">
        <v>53</v>
      </c>
      <c r="C57" s="1" t="s">
        <v>523</v>
      </c>
      <c r="D57" s="1" t="s">
        <v>524</v>
      </c>
      <c r="F57" s="1" t="s">
        <v>25</v>
      </c>
      <c r="G57" s="1" t="s">
        <v>525</v>
      </c>
      <c r="H57" s="13" t="b">
        <v>0</v>
      </c>
      <c r="I57" s="1">
        <v>3</v>
      </c>
    </row>
    <row r="58" spans="2:9" x14ac:dyDescent="0.3">
      <c r="B58" s="1">
        <v>54</v>
      </c>
      <c r="C58" s="1" t="s">
        <v>682</v>
      </c>
      <c r="D58" s="1" t="s">
        <v>683</v>
      </c>
      <c r="E58" s="18"/>
      <c r="F58" s="1" t="s">
        <v>25</v>
      </c>
      <c r="G58" s="1" t="s">
        <v>684</v>
      </c>
      <c r="H58" s="13" t="b">
        <v>0</v>
      </c>
      <c r="I58" s="1">
        <v>13</v>
      </c>
    </row>
    <row r="59" spans="2:9" x14ac:dyDescent="0.3">
      <c r="B59" s="1">
        <v>55</v>
      </c>
      <c r="C59" s="1" t="s">
        <v>69</v>
      </c>
      <c r="D59" s="1" t="s">
        <v>70</v>
      </c>
      <c r="F59" s="1" t="s">
        <v>25</v>
      </c>
      <c r="G59" s="1" t="s">
        <v>643</v>
      </c>
      <c r="H59" s="13" t="b">
        <v>0</v>
      </c>
      <c r="I59" s="1">
        <v>9</v>
      </c>
    </row>
    <row r="60" spans="2:9" x14ac:dyDescent="0.3">
      <c r="B60" s="1">
        <v>56</v>
      </c>
      <c r="C60" s="1" t="s">
        <v>526</v>
      </c>
      <c r="D60" s="1" t="s">
        <v>527</v>
      </c>
      <c r="F60" s="1" t="s">
        <v>25</v>
      </c>
      <c r="G60" s="1" t="s">
        <v>528</v>
      </c>
      <c r="H60" s="13" t="b">
        <v>0</v>
      </c>
      <c r="I60" s="1">
        <v>3</v>
      </c>
    </row>
    <row r="61" spans="2:9" x14ac:dyDescent="0.3">
      <c r="B61" s="1">
        <v>57</v>
      </c>
      <c r="C61" s="1" t="s">
        <v>645</v>
      </c>
      <c r="E61" s="1" t="s">
        <v>646</v>
      </c>
      <c r="F61" s="1" t="s">
        <v>25</v>
      </c>
      <c r="G61" s="1" t="s">
        <v>647</v>
      </c>
      <c r="H61" s="13" t="b">
        <v>0</v>
      </c>
      <c r="I61" s="1">
        <v>9</v>
      </c>
    </row>
    <row r="62" spans="2:9" x14ac:dyDescent="0.3">
      <c r="B62" s="1">
        <v>58</v>
      </c>
      <c r="C62" s="1" t="s">
        <v>644</v>
      </c>
      <c r="F62" s="1" t="s">
        <v>25</v>
      </c>
      <c r="G62" s="1" t="s">
        <v>648</v>
      </c>
      <c r="H62" s="13" t="b">
        <v>1</v>
      </c>
      <c r="I62" s="1">
        <v>9</v>
      </c>
    </row>
    <row r="63" spans="2:9" x14ac:dyDescent="0.3">
      <c r="B63" s="1">
        <v>59</v>
      </c>
      <c r="C63" s="1" t="s">
        <v>533</v>
      </c>
      <c r="D63" s="1" t="s">
        <v>534</v>
      </c>
      <c r="F63" s="1" t="s">
        <v>25</v>
      </c>
      <c r="G63" s="1" t="s">
        <v>535</v>
      </c>
      <c r="H63" s="13" t="b">
        <v>0</v>
      </c>
      <c r="I63" s="1">
        <v>4</v>
      </c>
    </row>
    <row r="64" spans="2:9" x14ac:dyDescent="0.3">
      <c r="B64" s="1">
        <v>60</v>
      </c>
      <c r="C64" s="1" t="s">
        <v>682</v>
      </c>
      <c r="D64" s="1" t="s">
        <v>683</v>
      </c>
      <c r="E64" s="18"/>
      <c r="F64" s="1" t="s">
        <v>25</v>
      </c>
      <c r="G64" s="1" t="s">
        <v>684</v>
      </c>
      <c r="H64" s="13" t="b">
        <v>0</v>
      </c>
      <c r="I64" s="1">
        <v>13</v>
      </c>
    </row>
    <row r="65" spans="2:9" x14ac:dyDescent="0.3">
      <c r="B65" s="1">
        <v>61</v>
      </c>
      <c r="C65" s="1" t="s">
        <v>543</v>
      </c>
      <c r="D65" s="1" t="s">
        <v>544</v>
      </c>
      <c r="F65" s="1" t="s">
        <v>25</v>
      </c>
      <c r="G65" s="1" t="s">
        <v>545</v>
      </c>
      <c r="H65" s="13" t="b">
        <v>0</v>
      </c>
      <c r="I65" s="1">
        <v>5</v>
      </c>
    </row>
    <row r="66" spans="2:9" x14ac:dyDescent="0.3">
      <c r="B66" s="1">
        <v>62</v>
      </c>
      <c r="C66" s="1" t="s">
        <v>115</v>
      </c>
      <c r="D66" s="1" t="s">
        <v>116</v>
      </c>
      <c r="F66" s="1" t="s">
        <v>25</v>
      </c>
      <c r="G66" s="1" t="s">
        <v>117</v>
      </c>
      <c r="H66" s="13" t="b">
        <v>0</v>
      </c>
      <c r="I66" s="1">
        <v>9</v>
      </c>
    </row>
    <row r="67" spans="2:9" x14ac:dyDescent="0.3">
      <c r="B67" s="1">
        <v>63</v>
      </c>
      <c r="C67" s="1" t="s">
        <v>115</v>
      </c>
      <c r="D67" s="1" t="s">
        <v>116</v>
      </c>
      <c r="F67" s="1" t="s">
        <v>25</v>
      </c>
      <c r="G67" s="1" t="s">
        <v>117</v>
      </c>
      <c r="H67" s="13" t="b">
        <v>0</v>
      </c>
      <c r="I67" s="1">
        <v>9</v>
      </c>
    </row>
    <row r="68" spans="2:9" x14ac:dyDescent="0.3">
      <c r="B68" s="1">
        <v>64</v>
      </c>
      <c r="C68" s="1" t="s">
        <v>651</v>
      </c>
      <c r="D68" s="1" t="s">
        <v>537</v>
      </c>
      <c r="F68" s="1" t="s">
        <v>536</v>
      </c>
      <c r="G68" s="1" t="s">
        <v>652</v>
      </c>
      <c r="H68" s="13" t="b">
        <v>0</v>
      </c>
      <c r="I68" s="1">
        <v>9</v>
      </c>
    </row>
    <row r="69" spans="2:9" x14ac:dyDescent="0.3">
      <c r="B69" s="1">
        <v>65</v>
      </c>
      <c r="C69" s="1" t="s">
        <v>653</v>
      </c>
      <c r="D69" s="1" t="s">
        <v>654</v>
      </c>
      <c r="F69" s="1" t="s">
        <v>536</v>
      </c>
      <c r="G69" s="1" t="s">
        <v>655</v>
      </c>
      <c r="H69" s="13" t="b">
        <v>0</v>
      </c>
      <c r="I69" s="1">
        <v>9</v>
      </c>
    </row>
    <row r="70" spans="2:9" x14ac:dyDescent="0.3">
      <c r="B70" s="1">
        <v>66</v>
      </c>
      <c r="C70" s="1" t="s">
        <v>57</v>
      </c>
      <c r="D70" s="1" t="s">
        <v>58</v>
      </c>
      <c r="F70" s="1" t="s">
        <v>34</v>
      </c>
      <c r="G70" s="1" t="s">
        <v>59</v>
      </c>
      <c r="H70" s="13" t="b">
        <v>0</v>
      </c>
      <c r="I70" s="1">
        <v>4</v>
      </c>
    </row>
    <row r="71" spans="2:9" x14ac:dyDescent="0.3">
      <c r="B71" s="1">
        <v>67</v>
      </c>
      <c r="C71" s="1" t="s">
        <v>104</v>
      </c>
      <c r="D71" s="1" t="s">
        <v>105</v>
      </c>
      <c r="F71" s="1" t="s">
        <v>106</v>
      </c>
      <c r="G71" s="1" t="s">
        <v>107</v>
      </c>
      <c r="H71" s="13" t="b">
        <v>0</v>
      </c>
      <c r="I71" s="1">
        <v>4</v>
      </c>
    </row>
    <row r="72" spans="2:9" x14ac:dyDescent="0.3">
      <c r="B72" s="1">
        <v>68</v>
      </c>
      <c r="C72" s="17" t="s">
        <v>538</v>
      </c>
      <c r="D72" s="1" t="s">
        <v>539</v>
      </c>
      <c r="F72" s="1" t="s">
        <v>25</v>
      </c>
      <c r="G72" s="1" t="s">
        <v>540</v>
      </c>
      <c r="H72" s="13" t="b">
        <v>0</v>
      </c>
      <c r="I72" s="1">
        <v>1</v>
      </c>
    </row>
    <row r="73" spans="2:9" x14ac:dyDescent="0.3">
      <c r="B73" s="1">
        <v>69</v>
      </c>
      <c r="C73" s="1" t="s">
        <v>523</v>
      </c>
      <c r="D73" s="1" t="s">
        <v>524</v>
      </c>
      <c r="F73" s="1" t="s">
        <v>25</v>
      </c>
      <c r="G73" s="1" t="s">
        <v>525</v>
      </c>
      <c r="H73" s="13" t="b">
        <v>0</v>
      </c>
      <c r="I73" s="1">
        <v>5</v>
      </c>
    </row>
    <row r="74" spans="2:9" x14ac:dyDescent="0.3">
      <c r="B74" s="1">
        <v>70</v>
      </c>
      <c r="C74" s="1" t="s">
        <v>682</v>
      </c>
      <c r="D74" s="1" t="s">
        <v>683</v>
      </c>
      <c r="E74" s="18"/>
      <c r="F74" s="1" t="s">
        <v>25</v>
      </c>
      <c r="G74" s="1" t="s">
        <v>684</v>
      </c>
      <c r="H74" s="13" t="b">
        <v>0</v>
      </c>
      <c r="I74" s="1">
        <v>13</v>
      </c>
    </row>
    <row r="75" spans="2:9" x14ac:dyDescent="0.3">
      <c r="B75" s="1">
        <v>71</v>
      </c>
      <c r="C75" s="1" t="s">
        <v>573</v>
      </c>
      <c r="D75" s="1" t="s">
        <v>574</v>
      </c>
      <c r="F75" s="1" t="s">
        <v>34</v>
      </c>
      <c r="G75" s="1" t="s">
        <v>62</v>
      </c>
      <c r="H75" s="13" t="b">
        <v>0</v>
      </c>
      <c r="I75" s="1">
        <v>6</v>
      </c>
    </row>
    <row r="76" spans="2:9" x14ac:dyDescent="0.3">
      <c r="B76" s="1">
        <v>72</v>
      </c>
      <c r="C76" s="1" t="s">
        <v>526</v>
      </c>
      <c r="D76" s="1" t="s">
        <v>527</v>
      </c>
      <c r="F76" s="1" t="s">
        <v>25</v>
      </c>
      <c r="G76" s="1" t="s">
        <v>528</v>
      </c>
      <c r="H76" s="13" t="b">
        <v>0</v>
      </c>
      <c r="I76" s="1">
        <v>5</v>
      </c>
    </row>
    <row r="77" spans="2:9" x14ac:dyDescent="0.3">
      <c r="B77" s="1">
        <v>73</v>
      </c>
      <c r="C77" s="1" t="s">
        <v>529</v>
      </c>
      <c r="D77" s="1" t="s">
        <v>61</v>
      </c>
      <c r="F77" s="1" t="s">
        <v>25</v>
      </c>
      <c r="G77" s="1" t="s">
        <v>530</v>
      </c>
      <c r="H77" s="13" t="b">
        <v>0</v>
      </c>
      <c r="I77" s="1">
        <v>5</v>
      </c>
    </row>
    <row r="78" spans="2:9" x14ac:dyDescent="0.3">
      <c r="B78" s="1">
        <v>74</v>
      </c>
      <c r="C78" s="1" t="s">
        <v>645</v>
      </c>
      <c r="E78" s="1" t="s">
        <v>646</v>
      </c>
      <c r="F78" s="1" t="s">
        <v>25</v>
      </c>
      <c r="G78" s="1" t="s">
        <v>647</v>
      </c>
      <c r="H78" s="13" t="b">
        <v>0</v>
      </c>
      <c r="I78" s="1">
        <v>9</v>
      </c>
    </row>
    <row r="79" spans="2:9" x14ac:dyDescent="0.3">
      <c r="B79" s="1">
        <v>75</v>
      </c>
      <c r="C79" s="1" t="s">
        <v>644</v>
      </c>
      <c r="F79" s="1" t="s">
        <v>25</v>
      </c>
      <c r="G79" s="1" t="s">
        <v>648</v>
      </c>
      <c r="H79" s="13" t="b">
        <v>1</v>
      </c>
      <c r="I79" s="1">
        <v>9</v>
      </c>
    </row>
    <row r="80" spans="2:9" ht="37.5" x14ac:dyDescent="0.3">
      <c r="B80" s="1">
        <v>76</v>
      </c>
      <c r="C80" s="1" t="s">
        <v>541</v>
      </c>
      <c r="D80" s="1" t="s">
        <v>532</v>
      </c>
      <c r="F80" s="1" t="s">
        <v>25</v>
      </c>
      <c r="G80" s="10" t="s">
        <v>542</v>
      </c>
      <c r="H80" s="13" t="b">
        <v>0</v>
      </c>
      <c r="I80" s="1">
        <v>5</v>
      </c>
    </row>
    <row r="81" spans="2:10" x14ac:dyDescent="0.3">
      <c r="B81" s="1">
        <v>77</v>
      </c>
      <c r="C81" s="1" t="s">
        <v>546</v>
      </c>
      <c r="F81" s="1" t="s">
        <v>25</v>
      </c>
      <c r="G81" s="1" t="s">
        <v>547</v>
      </c>
      <c r="H81" s="13" t="b">
        <v>0</v>
      </c>
      <c r="I81" s="1">
        <v>10</v>
      </c>
      <c r="J81" s="10"/>
    </row>
    <row r="82" spans="2:10" x14ac:dyDescent="0.3">
      <c r="B82" s="1">
        <v>78</v>
      </c>
      <c r="C82" s="1" t="s">
        <v>593</v>
      </c>
      <c r="D82" s="1" t="s">
        <v>126</v>
      </c>
      <c r="F82" s="1" t="s">
        <v>25</v>
      </c>
      <c r="G82" s="1" t="s">
        <v>127</v>
      </c>
      <c r="H82" s="13" t="b">
        <v>0</v>
      </c>
      <c r="I82" s="1">
        <v>5</v>
      </c>
    </row>
    <row r="83" spans="2:10" x14ac:dyDescent="0.3">
      <c r="B83" s="1">
        <v>79</v>
      </c>
      <c r="C83" s="1" t="s">
        <v>128</v>
      </c>
      <c r="D83" s="1" t="s">
        <v>129</v>
      </c>
      <c r="F83" s="1" t="s">
        <v>130</v>
      </c>
      <c r="G83" s="1" t="s">
        <v>131</v>
      </c>
      <c r="H83" s="13" t="b">
        <v>0</v>
      </c>
      <c r="I83" s="1">
        <v>5</v>
      </c>
    </row>
    <row r="84" spans="2:10" x14ac:dyDescent="0.3">
      <c r="B84" s="1">
        <v>80</v>
      </c>
      <c r="C84" s="1" t="s">
        <v>104</v>
      </c>
      <c r="D84" s="1" t="s">
        <v>105</v>
      </c>
      <c r="F84" s="1" t="s">
        <v>106</v>
      </c>
      <c r="G84" s="1" t="s">
        <v>107</v>
      </c>
      <c r="H84" s="13" t="b">
        <v>0</v>
      </c>
      <c r="I84" s="1">
        <v>5</v>
      </c>
    </row>
    <row r="85" spans="2:10" x14ac:dyDescent="0.3">
      <c r="B85" s="1">
        <v>81</v>
      </c>
      <c r="C85" s="17" t="s">
        <v>548</v>
      </c>
      <c r="D85" s="1" t="s">
        <v>549</v>
      </c>
      <c r="F85" s="1" t="s">
        <v>25</v>
      </c>
      <c r="G85" s="1" t="s">
        <v>550</v>
      </c>
      <c r="H85" s="13" t="b">
        <v>0</v>
      </c>
      <c r="I85" s="1">
        <v>1</v>
      </c>
    </row>
    <row r="86" spans="2:10" x14ac:dyDescent="0.3">
      <c r="B86" s="1">
        <v>82</v>
      </c>
      <c r="C86" s="1" t="s">
        <v>553</v>
      </c>
      <c r="D86" s="1" t="s">
        <v>555</v>
      </c>
      <c r="F86" s="1" t="s">
        <v>130</v>
      </c>
      <c r="G86" s="1" t="s">
        <v>556</v>
      </c>
      <c r="H86" s="13" t="b">
        <v>0</v>
      </c>
      <c r="I86" s="1">
        <v>8</v>
      </c>
    </row>
    <row r="87" spans="2:10" x14ac:dyDescent="0.3">
      <c r="B87" s="1">
        <v>83</v>
      </c>
      <c r="C87" s="1" t="s">
        <v>554</v>
      </c>
      <c r="D87" s="1" t="s">
        <v>102</v>
      </c>
      <c r="F87" s="1" t="s">
        <v>25</v>
      </c>
      <c r="G87" s="1" t="s">
        <v>557</v>
      </c>
      <c r="H87" s="13" t="b">
        <v>0</v>
      </c>
      <c r="I87" s="1">
        <v>5</v>
      </c>
    </row>
    <row r="88" spans="2:10" x14ac:dyDescent="0.3">
      <c r="B88" s="1">
        <v>84</v>
      </c>
      <c r="C88" s="1" t="s">
        <v>558</v>
      </c>
      <c r="D88" s="1" t="s">
        <v>531</v>
      </c>
      <c r="F88" s="1" t="s">
        <v>25</v>
      </c>
      <c r="G88" s="1" t="s">
        <v>559</v>
      </c>
      <c r="H88" s="13" t="b">
        <v>0</v>
      </c>
      <c r="I88" s="1">
        <v>5</v>
      </c>
    </row>
    <row r="89" spans="2:10" x14ac:dyDescent="0.3">
      <c r="B89" s="1">
        <v>85</v>
      </c>
      <c r="C89" s="1" t="s">
        <v>526</v>
      </c>
      <c r="D89" s="1" t="s">
        <v>527</v>
      </c>
      <c r="F89" s="1" t="s">
        <v>25</v>
      </c>
      <c r="G89" s="1" t="s">
        <v>528</v>
      </c>
      <c r="H89" s="13" t="b">
        <v>0</v>
      </c>
      <c r="I89" s="1">
        <v>7</v>
      </c>
    </row>
    <row r="90" spans="2:10" x14ac:dyDescent="0.3">
      <c r="B90" s="1">
        <v>86</v>
      </c>
      <c r="C90" s="1" t="s">
        <v>560</v>
      </c>
      <c r="D90" s="1" t="s">
        <v>561</v>
      </c>
      <c r="F90" s="1" t="s">
        <v>34</v>
      </c>
      <c r="G90" s="1" t="s">
        <v>562</v>
      </c>
      <c r="H90" s="13" t="b">
        <v>0</v>
      </c>
      <c r="I90" s="1">
        <v>5</v>
      </c>
    </row>
    <row r="91" spans="2:10" x14ac:dyDescent="0.3">
      <c r="B91" s="1">
        <v>87</v>
      </c>
      <c r="C91" s="1" t="s">
        <v>645</v>
      </c>
      <c r="E91" s="1" t="s">
        <v>646</v>
      </c>
      <c r="F91" s="1" t="s">
        <v>25</v>
      </c>
      <c r="G91" s="1" t="s">
        <v>647</v>
      </c>
      <c r="H91" s="13" t="b">
        <v>0</v>
      </c>
      <c r="I91" s="1">
        <v>9</v>
      </c>
    </row>
    <row r="92" spans="2:10" x14ac:dyDescent="0.3">
      <c r="B92" s="1">
        <v>88</v>
      </c>
      <c r="C92" s="1" t="s">
        <v>644</v>
      </c>
      <c r="F92" s="1" t="s">
        <v>25</v>
      </c>
      <c r="G92" s="1" t="s">
        <v>648</v>
      </c>
      <c r="H92" s="13" t="b">
        <v>1</v>
      </c>
      <c r="I92" s="1">
        <v>9</v>
      </c>
    </row>
    <row r="93" spans="2:10" x14ac:dyDescent="0.3">
      <c r="B93" s="1">
        <v>89</v>
      </c>
      <c r="C93" s="1" t="s">
        <v>560</v>
      </c>
      <c r="D93" s="1" t="s">
        <v>561</v>
      </c>
      <c r="F93" s="1" t="s">
        <v>34</v>
      </c>
      <c r="G93" s="1" t="s">
        <v>562</v>
      </c>
      <c r="H93" s="13" t="b">
        <v>0</v>
      </c>
      <c r="I93" s="1">
        <v>5</v>
      </c>
    </row>
    <row r="94" spans="2:10" x14ac:dyDescent="0.3">
      <c r="B94" s="1">
        <v>90</v>
      </c>
      <c r="C94" s="1" t="s">
        <v>563</v>
      </c>
      <c r="D94" s="1" t="s">
        <v>532</v>
      </c>
      <c r="F94" s="1" t="s">
        <v>34</v>
      </c>
      <c r="G94" s="10" t="s">
        <v>564</v>
      </c>
      <c r="H94" s="13" t="b">
        <v>0</v>
      </c>
      <c r="I94" s="1">
        <v>5</v>
      </c>
    </row>
    <row r="95" spans="2:10" x14ac:dyDescent="0.3">
      <c r="B95" s="1">
        <v>91</v>
      </c>
      <c r="C95" s="1" t="s">
        <v>551</v>
      </c>
      <c r="F95" s="1" t="s">
        <v>25</v>
      </c>
      <c r="G95" s="1" t="s">
        <v>552</v>
      </c>
      <c r="H95" s="13" t="b">
        <v>1</v>
      </c>
      <c r="I95" s="1">
        <v>5</v>
      </c>
    </row>
    <row r="96" spans="2:10" x14ac:dyDescent="0.3">
      <c r="B96" s="1">
        <v>92</v>
      </c>
      <c r="C96" s="1" t="s">
        <v>565</v>
      </c>
      <c r="F96" s="1" t="s">
        <v>25</v>
      </c>
      <c r="G96" s="1" t="s">
        <v>566</v>
      </c>
      <c r="H96" s="13" t="b">
        <v>0</v>
      </c>
      <c r="I96" s="1">
        <v>5</v>
      </c>
    </row>
    <row r="97" spans="2:9" x14ac:dyDescent="0.3">
      <c r="B97" s="1">
        <v>93</v>
      </c>
      <c r="C97" s="1" t="s">
        <v>656</v>
      </c>
      <c r="D97" s="1" t="s">
        <v>657</v>
      </c>
      <c r="F97" s="1" t="s">
        <v>25</v>
      </c>
      <c r="G97" s="1" t="s">
        <v>658</v>
      </c>
      <c r="H97" s="13" t="b">
        <v>0</v>
      </c>
      <c r="I97" s="1">
        <v>9</v>
      </c>
    </row>
    <row r="98" spans="2:9" x14ac:dyDescent="0.3">
      <c r="B98" s="1">
        <v>94</v>
      </c>
      <c r="C98" s="1" t="s">
        <v>645</v>
      </c>
      <c r="E98" s="1" t="s">
        <v>659</v>
      </c>
      <c r="F98" s="1" t="s">
        <v>25</v>
      </c>
      <c r="G98" s="1" t="s">
        <v>647</v>
      </c>
      <c r="H98" s="13" t="b">
        <v>0</v>
      </c>
      <c r="I98" s="1">
        <v>9</v>
      </c>
    </row>
    <row r="99" spans="2:9" x14ac:dyDescent="0.3">
      <c r="B99" s="1">
        <v>95</v>
      </c>
      <c r="C99" s="1" t="s">
        <v>660</v>
      </c>
      <c r="F99" s="1" t="s">
        <v>25</v>
      </c>
      <c r="G99" s="1" t="s">
        <v>661</v>
      </c>
      <c r="H99" s="13" t="b">
        <v>1</v>
      </c>
      <c r="I99" s="1">
        <v>9</v>
      </c>
    </row>
    <row r="100" spans="2:9" x14ac:dyDescent="0.3">
      <c r="B100" s="1">
        <v>96</v>
      </c>
      <c r="C100" s="1" t="s">
        <v>565</v>
      </c>
      <c r="F100" s="1" t="s">
        <v>25</v>
      </c>
      <c r="G100" s="1" t="s">
        <v>566</v>
      </c>
      <c r="H100" s="13" t="b">
        <v>0</v>
      </c>
      <c r="I100" s="1">
        <v>5</v>
      </c>
    </row>
    <row r="101" spans="2:9" x14ac:dyDescent="0.3">
      <c r="B101" s="1">
        <v>97</v>
      </c>
      <c r="C101" s="1" t="s">
        <v>567</v>
      </c>
      <c r="F101" s="1" t="s">
        <v>25</v>
      </c>
      <c r="G101" s="1" t="s">
        <v>583</v>
      </c>
      <c r="H101" s="13" t="b">
        <v>0</v>
      </c>
      <c r="I101" s="1">
        <v>7</v>
      </c>
    </row>
    <row r="102" spans="2:9" x14ac:dyDescent="0.3">
      <c r="B102" s="1">
        <v>98</v>
      </c>
      <c r="C102" s="1" t="s">
        <v>645</v>
      </c>
      <c r="E102" s="1" t="s">
        <v>649</v>
      </c>
      <c r="F102" s="1" t="s">
        <v>25</v>
      </c>
      <c r="G102" s="1" t="s">
        <v>647</v>
      </c>
      <c r="H102" s="13" t="b">
        <v>0</v>
      </c>
      <c r="I102" s="1">
        <v>9</v>
      </c>
    </row>
    <row r="103" spans="2:9" x14ac:dyDescent="0.3">
      <c r="B103" s="1">
        <v>99</v>
      </c>
      <c r="C103" s="10" t="s">
        <v>650</v>
      </c>
      <c r="F103" s="1" t="s">
        <v>25</v>
      </c>
      <c r="G103" s="1" t="s">
        <v>662</v>
      </c>
      <c r="H103" s="13" t="b">
        <v>1</v>
      </c>
      <c r="I103" s="1">
        <v>9</v>
      </c>
    </row>
    <row r="104" spans="2:9" x14ac:dyDescent="0.3">
      <c r="B104" s="1">
        <v>100</v>
      </c>
      <c r="C104" s="1" t="s">
        <v>568</v>
      </c>
      <c r="D104" s="1" t="s">
        <v>569</v>
      </c>
      <c r="F104" s="1" t="s">
        <v>25</v>
      </c>
      <c r="G104" s="1" t="s">
        <v>570</v>
      </c>
      <c r="H104" s="13" t="b">
        <v>0</v>
      </c>
      <c r="I104" s="1">
        <v>7</v>
      </c>
    </row>
    <row r="105" spans="2:9" x14ac:dyDescent="0.3">
      <c r="B105" s="1">
        <v>101</v>
      </c>
      <c r="C105" s="1" t="s">
        <v>560</v>
      </c>
      <c r="D105" s="1" t="s">
        <v>561</v>
      </c>
      <c r="F105" s="1" t="s">
        <v>34</v>
      </c>
      <c r="G105" s="1" t="s">
        <v>562</v>
      </c>
      <c r="H105" s="13" t="b">
        <v>0</v>
      </c>
      <c r="I105" s="1">
        <v>7</v>
      </c>
    </row>
    <row r="106" spans="2:9" x14ac:dyDescent="0.3">
      <c r="B106" s="1">
        <v>102</v>
      </c>
      <c r="C106" s="1" t="s">
        <v>578</v>
      </c>
      <c r="F106" s="1" t="s">
        <v>25</v>
      </c>
      <c r="G106" s="1" t="s">
        <v>579</v>
      </c>
      <c r="H106" s="13" t="b">
        <v>1</v>
      </c>
      <c r="I106" s="1">
        <v>7</v>
      </c>
    </row>
    <row r="107" spans="2:9" x14ac:dyDescent="0.3">
      <c r="B107" s="1">
        <v>103</v>
      </c>
      <c r="C107" s="1" t="s">
        <v>565</v>
      </c>
      <c r="F107" s="1" t="s">
        <v>25</v>
      </c>
      <c r="G107" s="1" t="s">
        <v>566</v>
      </c>
      <c r="H107" s="13" t="b">
        <v>0</v>
      </c>
      <c r="I107" s="1">
        <v>7</v>
      </c>
    </row>
    <row r="108" spans="2:9" x14ac:dyDescent="0.3">
      <c r="B108" s="1">
        <v>104</v>
      </c>
      <c r="C108" s="1" t="s">
        <v>41</v>
      </c>
      <c r="D108" s="1" t="s">
        <v>42</v>
      </c>
      <c r="F108" s="1" t="s">
        <v>25</v>
      </c>
      <c r="G108" s="1" t="s">
        <v>43</v>
      </c>
      <c r="H108" s="13" t="b">
        <v>0</v>
      </c>
      <c r="I108" s="1">
        <v>7</v>
      </c>
    </row>
    <row r="109" spans="2:9" x14ac:dyDescent="0.3">
      <c r="B109" s="1">
        <v>105</v>
      </c>
      <c r="C109" s="1" t="s">
        <v>582</v>
      </c>
      <c r="F109" s="1" t="s">
        <v>25</v>
      </c>
      <c r="G109" s="1" t="s">
        <v>599</v>
      </c>
      <c r="H109" s="13" t="b">
        <v>1</v>
      </c>
      <c r="I109" s="1">
        <v>7</v>
      </c>
    </row>
    <row r="110" spans="2:9" x14ac:dyDescent="0.3">
      <c r="B110" s="1">
        <v>106</v>
      </c>
      <c r="C110" s="1" t="s">
        <v>565</v>
      </c>
      <c r="F110" s="1" t="s">
        <v>25</v>
      </c>
      <c r="G110" s="1" t="s">
        <v>566</v>
      </c>
      <c r="H110" s="13" t="b">
        <v>0</v>
      </c>
      <c r="I110" s="1">
        <v>7</v>
      </c>
    </row>
    <row r="111" spans="2:9" x14ac:dyDescent="0.3">
      <c r="B111" s="1">
        <v>107</v>
      </c>
      <c r="C111" s="1" t="s">
        <v>567</v>
      </c>
      <c r="F111" s="1" t="s">
        <v>25</v>
      </c>
      <c r="G111" s="1" t="s">
        <v>583</v>
      </c>
      <c r="H111" s="13" t="b">
        <v>0</v>
      </c>
      <c r="I111" s="1">
        <v>7</v>
      </c>
    </row>
    <row r="112" spans="2:9" x14ac:dyDescent="0.3">
      <c r="B112" s="1">
        <v>108</v>
      </c>
      <c r="C112" s="1" t="s">
        <v>584</v>
      </c>
      <c r="D112" s="1" t="s">
        <v>585</v>
      </c>
      <c r="F112" s="1" t="s">
        <v>25</v>
      </c>
      <c r="G112" s="1" t="s">
        <v>586</v>
      </c>
      <c r="H112" s="13" t="b">
        <v>0</v>
      </c>
      <c r="I112" s="1">
        <v>7</v>
      </c>
    </row>
    <row r="113" spans="2:9" x14ac:dyDescent="0.3">
      <c r="B113" s="1">
        <v>109</v>
      </c>
      <c r="C113" s="1" t="s">
        <v>587</v>
      </c>
      <c r="D113" s="1" t="s">
        <v>588</v>
      </c>
      <c r="F113" s="1" t="s">
        <v>25</v>
      </c>
      <c r="G113" s="1" t="s">
        <v>589</v>
      </c>
      <c r="H113" s="13" t="b">
        <v>0</v>
      </c>
      <c r="I113" s="1">
        <v>7</v>
      </c>
    </row>
    <row r="114" spans="2:9" x14ac:dyDescent="0.3">
      <c r="B114" s="1">
        <v>110</v>
      </c>
      <c r="C114" s="1" t="s">
        <v>590</v>
      </c>
      <c r="D114" s="1" t="s">
        <v>591</v>
      </c>
      <c r="F114" s="1" t="s">
        <v>25</v>
      </c>
      <c r="G114" s="1" t="s">
        <v>592</v>
      </c>
      <c r="H114" s="13" t="b">
        <v>0</v>
      </c>
      <c r="I114" s="1">
        <v>7</v>
      </c>
    </row>
    <row r="115" spans="2:9" x14ac:dyDescent="0.3">
      <c r="B115" s="1">
        <v>111</v>
      </c>
      <c r="C115" s="1" t="s">
        <v>595</v>
      </c>
      <c r="D115" s="1" t="s">
        <v>596</v>
      </c>
      <c r="F115" s="1" t="s">
        <v>25</v>
      </c>
      <c r="G115" s="1" t="s">
        <v>597</v>
      </c>
      <c r="H115" s="13" t="b">
        <v>0</v>
      </c>
      <c r="I115" s="1">
        <v>7</v>
      </c>
    </row>
    <row r="116" spans="2:9" x14ac:dyDescent="0.3">
      <c r="B116" s="1">
        <v>112</v>
      </c>
      <c r="C116" s="1" t="s">
        <v>610</v>
      </c>
      <c r="D116" s="1" t="s">
        <v>611</v>
      </c>
      <c r="F116" s="1" t="s">
        <v>25</v>
      </c>
      <c r="G116" s="1" t="s">
        <v>612</v>
      </c>
      <c r="H116" s="13" t="b">
        <v>0</v>
      </c>
      <c r="I116" s="1">
        <v>8</v>
      </c>
    </row>
    <row r="117" spans="2:9" x14ac:dyDescent="0.3">
      <c r="B117" s="1">
        <v>113</v>
      </c>
      <c r="C117" s="1" t="s">
        <v>580</v>
      </c>
      <c r="D117" s="1" t="s">
        <v>581</v>
      </c>
      <c r="F117" s="1" t="s">
        <v>34</v>
      </c>
      <c r="G117" s="1" t="s">
        <v>598</v>
      </c>
      <c r="H117" s="13" t="b">
        <v>0</v>
      </c>
      <c r="I117" s="1">
        <v>7</v>
      </c>
    </row>
    <row r="118" spans="2:9" x14ac:dyDescent="0.3">
      <c r="B118" s="1">
        <v>114</v>
      </c>
      <c r="C118" s="1" t="s">
        <v>593</v>
      </c>
      <c r="D118" s="1" t="s">
        <v>126</v>
      </c>
      <c r="F118" s="1" t="s">
        <v>25</v>
      </c>
      <c r="G118" s="1" t="s">
        <v>127</v>
      </c>
      <c r="H118" s="13" t="b">
        <v>0</v>
      </c>
      <c r="I118" s="1">
        <v>7</v>
      </c>
    </row>
    <row r="119" spans="2:9" x14ac:dyDescent="0.3">
      <c r="B119" s="1">
        <v>115</v>
      </c>
      <c r="C119" s="1" t="s">
        <v>128</v>
      </c>
      <c r="D119" s="1" t="s">
        <v>129</v>
      </c>
      <c r="F119" s="1" t="s">
        <v>130</v>
      </c>
      <c r="G119" s="1" t="s">
        <v>131</v>
      </c>
      <c r="H119" s="13" t="b">
        <v>0</v>
      </c>
      <c r="I119" s="1">
        <v>7</v>
      </c>
    </row>
    <row r="120" spans="2:9" x14ac:dyDescent="0.3">
      <c r="B120" s="1">
        <v>116</v>
      </c>
      <c r="C120" s="1" t="s">
        <v>81</v>
      </c>
      <c r="D120" s="1" t="s">
        <v>82</v>
      </c>
      <c r="F120" s="1" t="s">
        <v>25</v>
      </c>
      <c r="G120" s="1" t="s">
        <v>83</v>
      </c>
      <c r="H120" s="13" t="b">
        <v>0</v>
      </c>
      <c r="I120" s="1">
        <v>7</v>
      </c>
    </row>
    <row r="121" spans="2:9" x14ac:dyDescent="0.3">
      <c r="B121" s="1">
        <v>117</v>
      </c>
      <c r="C121" s="1" t="s">
        <v>603</v>
      </c>
      <c r="D121" s="1" t="s">
        <v>604</v>
      </c>
      <c r="F121" s="1" t="s">
        <v>25</v>
      </c>
      <c r="G121" s="1" t="s">
        <v>605</v>
      </c>
      <c r="H121" s="13" t="b">
        <v>0</v>
      </c>
      <c r="I121" s="1">
        <v>8</v>
      </c>
    </row>
    <row r="122" spans="2:9" x14ac:dyDescent="0.3">
      <c r="B122" s="1">
        <v>118</v>
      </c>
      <c r="C122" s="1" t="s">
        <v>600</v>
      </c>
      <c r="D122" s="1" t="s">
        <v>602</v>
      </c>
      <c r="F122" s="1" t="s">
        <v>601</v>
      </c>
      <c r="G122" s="1" t="s">
        <v>606</v>
      </c>
      <c r="H122" s="13" t="b">
        <v>0</v>
      </c>
      <c r="I122" s="1">
        <v>8</v>
      </c>
    </row>
    <row r="123" spans="2:9" x14ac:dyDescent="0.3">
      <c r="B123" s="1">
        <v>119</v>
      </c>
      <c r="C123" s="17" t="s">
        <v>607</v>
      </c>
      <c r="D123" s="1" t="s">
        <v>608</v>
      </c>
      <c r="F123" s="1" t="s">
        <v>25</v>
      </c>
      <c r="G123" s="1" t="s">
        <v>609</v>
      </c>
      <c r="H123" s="13" t="b">
        <v>0</v>
      </c>
      <c r="I123" s="1">
        <v>1</v>
      </c>
    </row>
    <row r="124" spans="2:9" x14ac:dyDescent="0.3">
      <c r="B124" s="1">
        <v>120</v>
      </c>
      <c r="C124" s="1" t="s">
        <v>111</v>
      </c>
      <c r="D124" s="1" t="s">
        <v>112</v>
      </c>
      <c r="E124" s="1" t="s">
        <v>113</v>
      </c>
      <c r="F124" s="1" t="s">
        <v>25</v>
      </c>
      <c r="G124" s="1" t="s">
        <v>114</v>
      </c>
      <c r="H124" s="13" t="b">
        <v>0</v>
      </c>
      <c r="I124" s="1">
        <v>8</v>
      </c>
    </row>
    <row r="125" spans="2:9" x14ac:dyDescent="0.3">
      <c r="B125" s="1">
        <v>121</v>
      </c>
      <c r="C125" s="1" t="s">
        <v>510</v>
      </c>
      <c r="G125" s="1" t="s">
        <v>511</v>
      </c>
      <c r="H125" s="13" t="b">
        <v>1</v>
      </c>
      <c r="I125" s="1">
        <v>8</v>
      </c>
    </row>
    <row r="126" spans="2:9" x14ac:dyDescent="0.3">
      <c r="B126" s="1">
        <v>122</v>
      </c>
      <c r="C126" s="1" t="s">
        <v>607</v>
      </c>
      <c r="D126" s="1" t="s">
        <v>608</v>
      </c>
      <c r="F126" s="1" t="s">
        <v>25</v>
      </c>
      <c r="G126" s="1" t="s">
        <v>609</v>
      </c>
      <c r="H126" s="13" t="b">
        <v>0</v>
      </c>
      <c r="I126" s="1">
        <v>8</v>
      </c>
    </row>
    <row r="127" spans="2:9" x14ac:dyDescent="0.3">
      <c r="B127" s="1">
        <v>123</v>
      </c>
      <c r="C127" s="1" t="s">
        <v>553</v>
      </c>
      <c r="D127" s="1" t="s">
        <v>555</v>
      </c>
      <c r="F127" s="1" t="s">
        <v>130</v>
      </c>
      <c r="G127" s="1" t="s">
        <v>556</v>
      </c>
      <c r="H127" s="13" t="b">
        <v>0</v>
      </c>
      <c r="I127" s="1">
        <v>8</v>
      </c>
    </row>
    <row r="128" spans="2:9" x14ac:dyDescent="0.3">
      <c r="B128" s="1">
        <v>124</v>
      </c>
      <c r="C128" s="1" t="s">
        <v>554</v>
      </c>
      <c r="D128" s="1" t="s">
        <v>102</v>
      </c>
      <c r="F128" s="1" t="s">
        <v>25</v>
      </c>
      <c r="G128" s="1" t="s">
        <v>557</v>
      </c>
      <c r="H128" s="13" t="b">
        <v>0</v>
      </c>
      <c r="I128" s="1">
        <v>8</v>
      </c>
    </row>
    <row r="129" spans="2:9" x14ac:dyDescent="0.3">
      <c r="B129" s="1">
        <v>125</v>
      </c>
      <c r="C129" s="1" t="s">
        <v>558</v>
      </c>
      <c r="D129" s="1" t="s">
        <v>531</v>
      </c>
      <c r="F129" s="1" t="s">
        <v>25</v>
      </c>
      <c r="G129" s="1" t="s">
        <v>613</v>
      </c>
      <c r="H129" s="13" t="b">
        <v>0</v>
      </c>
      <c r="I129" s="1">
        <v>8</v>
      </c>
    </row>
    <row r="130" spans="2:9" x14ac:dyDescent="0.3">
      <c r="B130" s="1">
        <v>126</v>
      </c>
      <c r="C130" s="1" t="s">
        <v>614</v>
      </c>
      <c r="D130" s="1" t="s">
        <v>615</v>
      </c>
      <c r="F130" s="1" t="s">
        <v>25</v>
      </c>
      <c r="G130" s="1" t="s">
        <v>616</v>
      </c>
      <c r="H130" s="13" t="b">
        <v>0</v>
      </c>
      <c r="I130" s="1">
        <v>8</v>
      </c>
    </row>
    <row r="131" spans="2:9" x14ac:dyDescent="0.3">
      <c r="B131" s="1">
        <v>127</v>
      </c>
      <c r="C131" s="1" t="s">
        <v>72</v>
      </c>
      <c r="F131" s="1" t="s">
        <v>25</v>
      </c>
      <c r="G131" s="1" t="s">
        <v>73</v>
      </c>
      <c r="H131" s="13" t="b">
        <v>0</v>
      </c>
      <c r="I131" s="1">
        <v>8</v>
      </c>
    </row>
    <row r="132" spans="2:9" x14ac:dyDescent="0.3">
      <c r="B132" s="1">
        <v>128</v>
      </c>
      <c r="C132" s="1" t="s">
        <v>72</v>
      </c>
      <c r="F132" s="1" t="s">
        <v>25</v>
      </c>
      <c r="G132" s="1" t="s">
        <v>73</v>
      </c>
      <c r="H132" s="13" t="b">
        <v>0</v>
      </c>
      <c r="I132" s="1">
        <v>8</v>
      </c>
    </row>
    <row r="133" spans="2:9" x14ac:dyDescent="0.3">
      <c r="B133" s="1">
        <v>129</v>
      </c>
      <c r="C133" s="1" t="s">
        <v>558</v>
      </c>
      <c r="D133" s="1" t="s">
        <v>531</v>
      </c>
      <c r="F133" s="1" t="s">
        <v>25</v>
      </c>
      <c r="G133" s="1" t="s">
        <v>613</v>
      </c>
      <c r="H133" s="13" t="b">
        <v>0</v>
      </c>
      <c r="I133" s="1">
        <v>8</v>
      </c>
    </row>
    <row r="134" spans="2:9" x14ac:dyDescent="0.3">
      <c r="B134" s="1">
        <v>130</v>
      </c>
      <c r="C134" s="1" t="s">
        <v>617</v>
      </c>
      <c r="D134" s="1" t="s">
        <v>618</v>
      </c>
      <c r="F134" s="1" t="s">
        <v>25</v>
      </c>
      <c r="G134" s="1" t="s">
        <v>619</v>
      </c>
      <c r="H134" s="13" t="b">
        <v>0</v>
      </c>
      <c r="I134" s="1">
        <v>8</v>
      </c>
    </row>
    <row r="135" spans="2:9" x14ac:dyDescent="0.3">
      <c r="B135" s="1">
        <v>131</v>
      </c>
      <c r="C135" s="1" t="s">
        <v>623</v>
      </c>
      <c r="D135" s="1" t="s">
        <v>624</v>
      </c>
      <c r="F135" s="1" t="s">
        <v>25</v>
      </c>
      <c r="G135" s="1" t="s">
        <v>625</v>
      </c>
      <c r="H135" s="13" t="b">
        <v>0</v>
      </c>
      <c r="I135" s="1">
        <v>8</v>
      </c>
    </row>
    <row r="136" spans="2:9" x14ac:dyDescent="0.3">
      <c r="B136" s="1">
        <v>132</v>
      </c>
      <c r="C136" s="1" t="s">
        <v>620</v>
      </c>
      <c r="D136" s="1" t="s">
        <v>621</v>
      </c>
      <c r="F136" s="1" t="s">
        <v>25</v>
      </c>
      <c r="G136" s="1" t="s">
        <v>622</v>
      </c>
      <c r="H136" s="13" t="b">
        <v>0</v>
      </c>
      <c r="I136" s="1">
        <v>8</v>
      </c>
    </row>
    <row r="137" spans="2:9" x14ac:dyDescent="0.3">
      <c r="B137" s="1">
        <v>133</v>
      </c>
      <c r="C137" s="1" t="s">
        <v>630</v>
      </c>
      <c r="F137" s="1" t="s">
        <v>25</v>
      </c>
      <c r="G137" s="1" t="s">
        <v>631</v>
      </c>
      <c r="H137" s="13" t="b">
        <v>0</v>
      </c>
      <c r="I137" s="1">
        <v>8</v>
      </c>
    </row>
    <row r="138" spans="2:9" x14ac:dyDescent="0.3">
      <c r="B138" s="1">
        <v>134</v>
      </c>
      <c r="C138" s="1" t="s">
        <v>543</v>
      </c>
      <c r="D138" s="1" t="s">
        <v>544</v>
      </c>
      <c r="F138" s="1" t="s">
        <v>25</v>
      </c>
      <c r="G138" s="1" t="s">
        <v>545</v>
      </c>
      <c r="H138" s="13" t="b">
        <v>0</v>
      </c>
      <c r="I138" s="1">
        <v>8</v>
      </c>
    </row>
    <row r="139" spans="2:9" x14ac:dyDescent="0.3">
      <c r="B139" s="1">
        <v>135</v>
      </c>
      <c r="C139" s="1" t="s">
        <v>565</v>
      </c>
      <c r="F139" s="1" t="s">
        <v>25</v>
      </c>
      <c r="G139" s="1" t="s">
        <v>566</v>
      </c>
      <c r="H139" s="13" t="b">
        <v>0</v>
      </c>
      <c r="I139" s="1">
        <v>8</v>
      </c>
    </row>
    <row r="140" spans="2:9" x14ac:dyDescent="0.3">
      <c r="B140" s="1">
        <v>136</v>
      </c>
      <c r="C140" s="1" t="s">
        <v>632</v>
      </c>
      <c r="F140" s="1" t="s">
        <v>25</v>
      </c>
      <c r="G140" s="1" t="s">
        <v>633</v>
      </c>
      <c r="H140" s="13" t="b">
        <v>0</v>
      </c>
      <c r="I140" s="1">
        <v>8</v>
      </c>
    </row>
    <row r="141" spans="2:9" x14ac:dyDescent="0.3">
      <c r="B141" s="1">
        <v>137</v>
      </c>
      <c r="C141" s="1" t="s">
        <v>600</v>
      </c>
      <c r="D141" s="1" t="s">
        <v>602</v>
      </c>
      <c r="F141" s="1" t="s">
        <v>601</v>
      </c>
      <c r="G141" s="1" t="s">
        <v>606</v>
      </c>
      <c r="H141" s="13" t="b">
        <v>0</v>
      </c>
      <c r="I141" s="1">
        <v>8</v>
      </c>
    </row>
    <row r="142" spans="2:9" x14ac:dyDescent="0.3">
      <c r="B142" s="1">
        <v>138</v>
      </c>
      <c r="C142" s="1" t="s">
        <v>628</v>
      </c>
      <c r="F142" s="1" t="s">
        <v>25</v>
      </c>
      <c r="G142" s="1" t="s">
        <v>629</v>
      </c>
      <c r="H142" s="13" t="b">
        <v>0</v>
      </c>
      <c r="I142" s="1">
        <v>8</v>
      </c>
    </row>
    <row r="143" spans="2:9" x14ac:dyDescent="0.3">
      <c r="B143" s="1">
        <v>139</v>
      </c>
      <c r="C143" s="1" t="s">
        <v>72</v>
      </c>
      <c r="F143" s="1" t="s">
        <v>25</v>
      </c>
      <c r="G143" s="1" t="s">
        <v>73</v>
      </c>
      <c r="H143" s="13" t="b">
        <v>0</v>
      </c>
      <c r="I143" s="1">
        <v>8</v>
      </c>
    </row>
    <row r="144" spans="2:9" x14ac:dyDescent="0.3">
      <c r="B144" s="1">
        <v>140</v>
      </c>
      <c r="C144" s="1" t="s">
        <v>543</v>
      </c>
      <c r="D144" s="1" t="s">
        <v>544</v>
      </c>
      <c r="F144" s="1" t="s">
        <v>25</v>
      </c>
      <c r="G144" s="1" t="s">
        <v>545</v>
      </c>
      <c r="H144" s="13" t="b">
        <v>0</v>
      </c>
      <c r="I144" s="1">
        <v>8</v>
      </c>
    </row>
    <row r="145" spans="2:14" x14ac:dyDescent="0.3">
      <c r="B145" s="1">
        <v>141</v>
      </c>
      <c r="C145" s="1" t="s">
        <v>565</v>
      </c>
      <c r="F145" s="1" t="s">
        <v>25</v>
      </c>
      <c r="G145" s="1" t="s">
        <v>566</v>
      </c>
      <c r="H145" s="13" t="b">
        <v>0</v>
      </c>
      <c r="I145" s="1">
        <v>8</v>
      </c>
    </row>
    <row r="146" spans="2:14" x14ac:dyDescent="0.3">
      <c r="B146" s="1">
        <v>142</v>
      </c>
      <c r="C146" s="1" t="s">
        <v>39</v>
      </c>
      <c r="F146" s="1" t="s">
        <v>25</v>
      </c>
      <c r="G146" s="1" t="s">
        <v>40</v>
      </c>
      <c r="H146" s="13" t="b">
        <v>0</v>
      </c>
      <c r="I146" s="1">
        <v>8</v>
      </c>
    </row>
    <row r="147" spans="2:14" x14ac:dyDescent="0.3">
      <c r="B147" s="1">
        <v>143</v>
      </c>
      <c r="C147" s="1" t="s">
        <v>626</v>
      </c>
      <c r="F147" s="1" t="s">
        <v>25</v>
      </c>
      <c r="G147" s="1" t="s">
        <v>627</v>
      </c>
      <c r="H147" s="13" t="b">
        <v>1</v>
      </c>
      <c r="I147" s="1">
        <v>8</v>
      </c>
    </row>
    <row r="148" spans="2:14" x14ac:dyDescent="0.3">
      <c r="B148" s="1">
        <v>144</v>
      </c>
      <c r="C148" s="1" t="s">
        <v>560</v>
      </c>
      <c r="D148" s="1" t="s">
        <v>561</v>
      </c>
      <c r="F148" s="1" t="s">
        <v>34</v>
      </c>
      <c r="G148" s="1" t="s">
        <v>562</v>
      </c>
      <c r="H148" s="13" t="b">
        <v>0</v>
      </c>
      <c r="I148" s="1">
        <v>8</v>
      </c>
    </row>
    <row r="149" spans="2:14" x14ac:dyDescent="0.3">
      <c r="B149" s="1">
        <v>145</v>
      </c>
      <c r="C149" s="1" t="s">
        <v>645</v>
      </c>
      <c r="E149" s="1" t="s">
        <v>646</v>
      </c>
      <c r="F149" s="1" t="s">
        <v>25</v>
      </c>
      <c r="G149" s="1" t="s">
        <v>647</v>
      </c>
      <c r="H149" s="13" t="b">
        <v>0</v>
      </c>
      <c r="I149" s="1">
        <v>9</v>
      </c>
    </row>
    <row r="150" spans="2:14" x14ac:dyDescent="0.3">
      <c r="B150" s="1">
        <v>146</v>
      </c>
      <c r="C150" s="1" t="s">
        <v>644</v>
      </c>
      <c r="F150" s="1" t="s">
        <v>25</v>
      </c>
      <c r="G150" s="1" t="s">
        <v>648</v>
      </c>
      <c r="H150" s="13" t="b">
        <v>1</v>
      </c>
      <c r="I150" s="1">
        <v>9</v>
      </c>
    </row>
    <row r="151" spans="2:14" x14ac:dyDescent="0.3">
      <c r="B151" s="1">
        <v>147</v>
      </c>
      <c r="C151" s="1" t="s">
        <v>560</v>
      </c>
      <c r="D151" s="1" t="s">
        <v>561</v>
      </c>
      <c r="F151" s="1" t="s">
        <v>34</v>
      </c>
      <c r="G151" s="1" t="s">
        <v>562</v>
      </c>
      <c r="H151" s="13" t="b">
        <v>0</v>
      </c>
      <c r="I151" s="1">
        <v>8</v>
      </c>
    </row>
    <row r="152" spans="2:14" x14ac:dyDescent="0.3">
      <c r="B152" s="1">
        <v>148</v>
      </c>
      <c r="C152" s="1" t="s">
        <v>563</v>
      </c>
      <c r="D152" s="1" t="s">
        <v>532</v>
      </c>
      <c r="F152" s="1" t="s">
        <v>34</v>
      </c>
      <c r="G152" s="10" t="s">
        <v>564</v>
      </c>
      <c r="H152" s="13" t="b">
        <v>0</v>
      </c>
      <c r="I152" s="1">
        <v>8</v>
      </c>
    </row>
    <row r="153" spans="2:14" x14ac:dyDescent="0.3">
      <c r="B153" s="1">
        <v>149</v>
      </c>
      <c r="C153" s="1" t="s">
        <v>551</v>
      </c>
      <c r="F153" s="1" t="s">
        <v>25</v>
      </c>
      <c r="G153" s="1" t="s">
        <v>552</v>
      </c>
      <c r="H153" s="13" t="b">
        <v>1</v>
      </c>
      <c r="I153" s="1">
        <v>8</v>
      </c>
    </row>
    <row r="154" spans="2:14" x14ac:dyDescent="0.3">
      <c r="B154" s="1">
        <v>150</v>
      </c>
      <c r="C154" s="1" t="s">
        <v>565</v>
      </c>
      <c r="F154" s="1" t="s">
        <v>25</v>
      </c>
      <c r="G154" s="1" t="s">
        <v>566</v>
      </c>
      <c r="H154" s="13" t="b">
        <v>0</v>
      </c>
      <c r="I154" s="1">
        <v>8</v>
      </c>
    </row>
    <row r="155" spans="2:14" x14ac:dyDescent="0.3">
      <c r="B155" s="1">
        <v>151</v>
      </c>
      <c r="C155" s="1" t="s">
        <v>656</v>
      </c>
      <c r="D155" s="1" t="s">
        <v>657</v>
      </c>
      <c r="F155" s="1" t="s">
        <v>25</v>
      </c>
      <c r="G155" s="1" t="s">
        <v>658</v>
      </c>
      <c r="H155" s="13" t="b">
        <v>0</v>
      </c>
      <c r="I155" s="1">
        <v>9</v>
      </c>
    </row>
    <row r="156" spans="2:14" x14ac:dyDescent="0.3">
      <c r="B156" s="1">
        <v>152</v>
      </c>
      <c r="C156" s="1" t="s">
        <v>645</v>
      </c>
      <c r="E156" s="1" t="s">
        <v>659</v>
      </c>
      <c r="F156" s="1" t="s">
        <v>25</v>
      </c>
      <c r="G156" s="1" t="s">
        <v>647</v>
      </c>
      <c r="H156" s="13" t="b">
        <v>0</v>
      </c>
      <c r="I156" s="1">
        <v>9</v>
      </c>
      <c r="K156" s="1" t="s">
        <v>560</v>
      </c>
      <c r="L156" s="1" t="s">
        <v>561</v>
      </c>
      <c r="N156" s="13" t="b">
        <v>0</v>
      </c>
    </row>
    <row r="157" spans="2:14" x14ac:dyDescent="0.3">
      <c r="B157" s="1">
        <v>153</v>
      </c>
      <c r="C157" s="1" t="s">
        <v>660</v>
      </c>
      <c r="F157" s="1" t="s">
        <v>25</v>
      </c>
      <c r="G157" s="1" t="s">
        <v>661</v>
      </c>
      <c r="H157" s="13" t="b">
        <v>1</v>
      </c>
      <c r="I157" s="1">
        <v>9</v>
      </c>
      <c r="K157" s="1" t="s">
        <v>677</v>
      </c>
      <c r="L157" s="1" t="s">
        <v>531</v>
      </c>
      <c r="N157" s="13" t="b">
        <v>0</v>
      </c>
    </row>
    <row r="158" spans="2:14" x14ac:dyDescent="0.3">
      <c r="B158" s="1">
        <v>154</v>
      </c>
      <c r="C158" s="1" t="s">
        <v>565</v>
      </c>
      <c r="F158" s="1" t="s">
        <v>25</v>
      </c>
      <c r="G158" s="1" t="s">
        <v>566</v>
      </c>
      <c r="H158" s="13" t="b">
        <v>0</v>
      </c>
      <c r="I158" s="1">
        <v>8</v>
      </c>
      <c r="K158" s="1" t="s">
        <v>678</v>
      </c>
      <c r="N158" s="13" t="b">
        <v>0</v>
      </c>
    </row>
    <row r="159" spans="2:14" x14ac:dyDescent="0.3">
      <c r="B159" s="1">
        <v>155</v>
      </c>
      <c r="C159" s="1" t="s">
        <v>567</v>
      </c>
      <c r="F159" s="1" t="s">
        <v>25</v>
      </c>
      <c r="G159" s="1" t="s">
        <v>583</v>
      </c>
      <c r="H159" s="13" t="b">
        <v>0</v>
      </c>
      <c r="I159" s="1">
        <v>8</v>
      </c>
      <c r="K159" s="1" t="s">
        <v>628</v>
      </c>
      <c r="N159" s="13" t="b">
        <v>0</v>
      </c>
    </row>
    <row r="160" spans="2:14" x14ac:dyDescent="0.3">
      <c r="B160" s="1">
        <v>156</v>
      </c>
      <c r="C160" s="1" t="s">
        <v>645</v>
      </c>
      <c r="E160" s="1" t="s">
        <v>649</v>
      </c>
      <c r="F160" s="1" t="s">
        <v>25</v>
      </c>
      <c r="G160" s="1" t="s">
        <v>647</v>
      </c>
      <c r="H160" s="13" t="b">
        <v>0</v>
      </c>
      <c r="I160" s="1">
        <v>9</v>
      </c>
    </row>
    <row r="161" spans="2:9" x14ac:dyDescent="0.3">
      <c r="B161" s="1">
        <v>157</v>
      </c>
      <c r="C161" s="10" t="s">
        <v>650</v>
      </c>
      <c r="F161" s="1" t="s">
        <v>25</v>
      </c>
      <c r="G161" s="1" t="s">
        <v>662</v>
      </c>
      <c r="H161" s="13" t="b">
        <v>1</v>
      </c>
      <c r="I161" s="1">
        <v>9</v>
      </c>
    </row>
    <row r="162" spans="2:9" x14ac:dyDescent="0.3">
      <c r="B162" s="1">
        <v>158</v>
      </c>
      <c r="C162" s="1" t="s">
        <v>568</v>
      </c>
      <c r="D162" s="1" t="s">
        <v>569</v>
      </c>
      <c r="F162" s="1" t="s">
        <v>25</v>
      </c>
      <c r="G162" s="1" t="s">
        <v>570</v>
      </c>
      <c r="H162" s="13" t="b">
        <v>0</v>
      </c>
      <c r="I162" s="1">
        <v>8</v>
      </c>
    </row>
    <row r="163" spans="2:9" x14ac:dyDescent="0.3">
      <c r="B163" s="1">
        <v>159</v>
      </c>
      <c r="C163" s="1" t="s">
        <v>560</v>
      </c>
      <c r="D163" s="1" t="s">
        <v>561</v>
      </c>
      <c r="F163" s="1" t="s">
        <v>34</v>
      </c>
      <c r="G163" s="1" t="s">
        <v>562</v>
      </c>
      <c r="H163" s="13" t="b">
        <v>0</v>
      </c>
      <c r="I163" s="1">
        <v>8</v>
      </c>
    </row>
    <row r="164" spans="2:9" x14ac:dyDescent="0.3">
      <c r="B164" s="1">
        <v>160</v>
      </c>
      <c r="C164" s="1" t="s">
        <v>578</v>
      </c>
      <c r="F164" s="1" t="s">
        <v>25</v>
      </c>
      <c r="G164" s="1" t="s">
        <v>579</v>
      </c>
      <c r="H164" s="13" t="b">
        <v>1</v>
      </c>
      <c r="I164" s="1">
        <v>8</v>
      </c>
    </row>
    <row r="165" spans="2:9" x14ac:dyDescent="0.3">
      <c r="B165" s="1">
        <v>161</v>
      </c>
      <c r="C165" s="1" t="s">
        <v>565</v>
      </c>
      <c r="F165" s="1" t="s">
        <v>25</v>
      </c>
      <c r="G165" s="1" t="s">
        <v>566</v>
      </c>
      <c r="H165" s="13" t="b">
        <v>0</v>
      </c>
      <c r="I165" s="1">
        <v>8</v>
      </c>
    </row>
    <row r="166" spans="2:9" x14ac:dyDescent="0.3">
      <c r="B166" s="1">
        <v>162</v>
      </c>
      <c r="C166" s="1" t="s">
        <v>41</v>
      </c>
      <c r="D166" s="1" t="s">
        <v>42</v>
      </c>
      <c r="F166" s="1" t="s">
        <v>25</v>
      </c>
      <c r="G166" s="1" t="s">
        <v>43</v>
      </c>
      <c r="H166" s="13" t="b">
        <v>0</v>
      </c>
      <c r="I166" s="1">
        <v>8</v>
      </c>
    </row>
    <row r="167" spans="2:9" x14ac:dyDescent="0.3">
      <c r="B167" s="1">
        <v>163</v>
      </c>
      <c r="C167" s="1" t="s">
        <v>582</v>
      </c>
      <c r="F167" s="1" t="s">
        <v>25</v>
      </c>
      <c r="G167" s="1" t="s">
        <v>599</v>
      </c>
      <c r="H167" s="13" t="b">
        <v>1</v>
      </c>
      <c r="I167" s="1">
        <v>8</v>
      </c>
    </row>
    <row r="168" spans="2:9" x14ac:dyDescent="0.3">
      <c r="B168" s="1">
        <v>164</v>
      </c>
      <c r="C168" s="1" t="s">
        <v>565</v>
      </c>
      <c r="F168" s="1" t="s">
        <v>25</v>
      </c>
      <c r="G168" s="1" t="s">
        <v>566</v>
      </c>
      <c r="H168" s="13" t="b">
        <v>0</v>
      </c>
      <c r="I168" s="1">
        <v>8</v>
      </c>
    </row>
    <row r="169" spans="2:9" x14ac:dyDescent="0.3">
      <c r="B169" s="1">
        <v>165</v>
      </c>
      <c r="C169" s="1" t="s">
        <v>567</v>
      </c>
      <c r="F169" s="1" t="s">
        <v>25</v>
      </c>
      <c r="G169" s="1" t="s">
        <v>583</v>
      </c>
      <c r="H169" s="13" t="b">
        <v>0</v>
      </c>
      <c r="I169" s="1">
        <v>8</v>
      </c>
    </row>
    <row r="170" spans="2:9" x14ac:dyDescent="0.3">
      <c r="B170" s="1">
        <v>166</v>
      </c>
      <c r="C170" s="1" t="s">
        <v>584</v>
      </c>
      <c r="D170" s="1" t="s">
        <v>585</v>
      </c>
      <c r="F170" s="1" t="s">
        <v>25</v>
      </c>
      <c r="G170" s="1" t="s">
        <v>586</v>
      </c>
      <c r="H170" s="13" t="b">
        <v>0</v>
      </c>
      <c r="I170" s="1">
        <v>8</v>
      </c>
    </row>
    <row r="171" spans="2:9" x14ac:dyDescent="0.3">
      <c r="B171" s="1">
        <v>167</v>
      </c>
      <c r="C171" s="1" t="s">
        <v>587</v>
      </c>
      <c r="D171" s="1" t="s">
        <v>588</v>
      </c>
      <c r="F171" s="1" t="s">
        <v>25</v>
      </c>
      <c r="G171" s="1" t="s">
        <v>589</v>
      </c>
      <c r="H171" s="13" t="b">
        <v>0</v>
      </c>
      <c r="I171" s="1">
        <v>8</v>
      </c>
    </row>
    <row r="172" spans="2:9" x14ac:dyDescent="0.3">
      <c r="B172" s="1">
        <v>168</v>
      </c>
      <c r="C172" s="1" t="s">
        <v>590</v>
      </c>
      <c r="D172" s="1" t="s">
        <v>591</v>
      </c>
      <c r="F172" s="1" t="s">
        <v>25</v>
      </c>
      <c r="G172" s="1" t="s">
        <v>592</v>
      </c>
      <c r="H172" s="13" t="b">
        <v>0</v>
      </c>
      <c r="I172" s="1">
        <v>8</v>
      </c>
    </row>
    <row r="173" spans="2:9" x14ac:dyDescent="0.3">
      <c r="B173" s="1">
        <v>169</v>
      </c>
      <c r="C173" s="1" t="s">
        <v>595</v>
      </c>
      <c r="D173" s="1" t="s">
        <v>596</v>
      </c>
      <c r="F173" s="1" t="s">
        <v>25</v>
      </c>
      <c r="G173" s="1" t="s">
        <v>597</v>
      </c>
      <c r="H173" s="13" t="b">
        <v>0</v>
      </c>
      <c r="I173" s="1">
        <v>8</v>
      </c>
    </row>
    <row r="174" spans="2:9" x14ac:dyDescent="0.3">
      <c r="B174" s="1">
        <v>170</v>
      </c>
      <c r="C174" s="1" t="s">
        <v>610</v>
      </c>
      <c r="D174" s="1" t="s">
        <v>611</v>
      </c>
      <c r="F174" s="1" t="s">
        <v>25</v>
      </c>
      <c r="G174" s="1" t="s">
        <v>612</v>
      </c>
      <c r="H174" s="13" t="b">
        <v>0</v>
      </c>
      <c r="I174" s="1">
        <v>8</v>
      </c>
    </row>
    <row r="175" spans="2:9" x14ac:dyDescent="0.3">
      <c r="B175" s="1">
        <v>171</v>
      </c>
      <c r="C175" s="1" t="s">
        <v>580</v>
      </c>
      <c r="D175" s="1" t="s">
        <v>581</v>
      </c>
      <c r="F175" s="1" t="s">
        <v>34</v>
      </c>
      <c r="G175" s="1" t="s">
        <v>598</v>
      </c>
      <c r="H175" s="13" t="b">
        <v>0</v>
      </c>
      <c r="I175" s="1">
        <v>8</v>
      </c>
    </row>
    <row r="176" spans="2:9" x14ac:dyDescent="0.3">
      <c r="B176" s="1">
        <v>172</v>
      </c>
      <c r="C176" s="1" t="s">
        <v>593</v>
      </c>
      <c r="D176" s="1" t="s">
        <v>126</v>
      </c>
      <c r="F176" s="1" t="s">
        <v>25</v>
      </c>
      <c r="G176" s="1" t="s">
        <v>127</v>
      </c>
      <c r="H176" s="13" t="b">
        <v>0</v>
      </c>
      <c r="I176" s="1">
        <v>8</v>
      </c>
    </row>
    <row r="177" spans="2:9" x14ac:dyDescent="0.3">
      <c r="B177" s="1">
        <v>173</v>
      </c>
      <c r="C177" s="1" t="s">
        <v>128</v>
      </c>
      <c r="D177" s="1" t="s">
        <v>129</v>
      </c>
      <c r="F177" s="1" t="s">
        <v>130</v>
      </c>
      <c r="G177" s="1" t="s">
        <v>131</v>
      </c>
      <c r="H177" s="13" t="b">
        <v>0</v>
      </c>
      <c r="I177" s="1">
        <v>8</v>
      </c>
    </row>
    <row r="178" spans="2:9" x14ac:dyDescent="0.3">
      <c r="B178" s="1">
        <v>174</v>
      </c>
      <c r="C178" s="1" t="s">
        <v>81</v>
      </c>
      <c r="D178" s="1" t="s">
        <v>82</v>
      </c>
      <c r="F178" s="1" t="s">
        <v>25</v>
      </c>
      <c r="G178" s="1" t="s">
        <v>83</v>
      </c>
      <c r="H178" s="13" t="b">
        <v>0</v>
      </c>
      <c r="I178" s="1">
        <v>8</v>
      </c>
    </row>
    <row r="179" spans="2:9" x14ac:dyDescent="0.3">
      <c r="B179" s="1">
        <v>175</v>
      </c>
      <c r="C179" s="1" t="s">
        <v>603</v>
      </c>
      <c r="D179" s="1" t="s">
        <v>604</v>
      </c>
      <c r="F179" s="1" t="s">
        <v>25</v>
      </c>
      <c r="G179" s="1" t="s">
        <v>605</v>
      </c>
      <c r="H179" s="13" t="b">
        <v>0</v>
      </c>
      <c r="I179" s="1">
        <v>8</v>
      </c>
    </row>
    <row r="180" spans="2:9" x14ac:dyDescent="0.3">
      <c r="B180" s="1">
        <v>176</v>
      </c>
      <c r="C180" s="1" t="s">
        <v>600</v>
      </c>
      <c r="D180" s="1" t="s">
        <v>602</v>
      </c>
      <c r="F180" s="1" t="s">
        <v>601</v>
      </c>
      <c r="G180" s="1" t="s">
        <v>606</v>
      </c>
      <c r="H180" s="13" t="b">
        <v>0</v>
      </c>
      <c r="I180" s="1">
        <v>8</v>
      </c>
    </row>
    <row r="181" spans="2:9" x14ac:dyDescent="0.3">
      <c r="B181" s="1">
        <v>177</v>
      </c>
      <c r="C181" s="17" t="s">
        <v>663</v>
      </c>
      <c r="D181" s="1" t="s">
        <v>664</v>
      </c>
      <c r="F181" s="1" t="s">
        <v>25</v>
      </c>
      <c r="G181" s="1" t="s">
        <v>665</v>
      </c>
      <c r="H181" s="13" t="b">
        <v>0</v>
      </c>
      <c r="I181" s="1">
        <v>9</v>
      </c>
    </row>
    <row r="182" spans="2:9" x14ac:dyDescent="0.3">
      <c r="B182" s="1">
        <v>178</v>
      </c>
      <c r="C182" s="1" t="s">
        <v>635</v>
      </c>
      <c r="F182" s="1" t="s">
        <v>25</v>
      </c>
      <c r="G182" s="1" t="s">
        <v>636</v>
      </c>
      <c r="H182" s="13" t="b">
        <v>1</v>
      </c>
      <c r="I182" s="1">
        <v>9</v>
      </c>
    </row>
    <row r="183" spans="2:9" x14ac:dyDescent="0.3">
      <c r="B183" s="1">
        <v>179</v>
      </c>
      <c r="C183" s="1" t="s">
        <v>580</v>
      </c>
      <c r="D183" s="1" t="s">
        <v>581</v>
      </c>
      <c r="F183" s="1" t="s">
        <v>34</v>
      </c>
      <c r="G183" s="1" t="s">
        <v>598</v>
      </c>
      <c r="H183" s="13" t="b">
        <v>0</v>
      </c>
      <c r="I183" s="1">
        <v>9</v>
      </c>
    </row>
    <row r="184" spans="2:9" x14ac:dyDescent="0.3">
      <c r="B184" s="1">
        <v>180</v>
      </c>
      <c r="C184" s="17" t="s">
        <v>666</v>
      </c>
      <c r="D184" s="1" t="s">
        <v>667</v>
      </c>
      <c r="F184" s="1" t="s">
        <v>25</v>
      </c>
      <c r="G184" s="1" t="s">
        <v>668</v>
      </c>
      <c r="H184" s="13" t="b">
        <v>0</v>
      </c>
      <c r="I184" s="1">
        <v>9</v>
      </c>
    </row>
    <row r="185" spans="2:9" x14ac:dyDescent="0.3">
      <c r="B185" s="1">
        <v>181</v>
      </c>
      <c r="C185" s="1" t="s">
        <v>675</v>
      </c>
      <c r="F185" s="1" t="s">
        <v>25</v>
      </c>
      <c r="G185" s="1" t="s">
        <v>676</v>
      </c>
      <c r="H185" s="13" t="b">
        <v>1</v>
      </c>
      <c r="I185" s="1">
        <v>9</v>
      </c>
    </row>
    <row r="186" spans="2:9" x14ac:dyDescent="0.3">
      <c r="B186" s="1">
        <v>182</v>
      </c>
      <c r="C186" s="1" t="s">
        <v>590</v>
      </c>
      <c r="D186" s="1" t="s">
        <v>591</v>
      </c>
      <c r="F186" s="1" t="s">
        <v>25</v>
      </c>
      <c r="G186" s="1" t="s">
        <v>592</v>
      </c>
      <c r="H186" s="13" t="b">
        <v>0</v>
      </c>
      <c r="I186" s="1">
        <v>9</v>
      </c>
    </row>
    <row r="187" spans="2:9" x14ac:dyDescent="0.3">
      <c r="B187" s="1">
        <v>183</v>
      </c>
      <c r="C187" s="1" t="s">
        <v>595</v>
      </c>
      <c r="D187" s="1" t="s">
        <v>596</v>
      </c>
      <c r="F187" s="1" t="s">
        <v>25</v>
      </c>
      <c r="G187" s="1" t="s">
        <v>597</v>
      </c>
      <c r="H187" s="13" t="b">
        <v>0</v>
      </c>
      <c r="I187" s="1">
        <v>9</v>
      </c>
    </row>
    <row r="188" spans="2:9" x14ac:dyDescent="0.3">
      <c r="B188" s="1">
        <v>184</v>
      </c>
      <c r="C188" s="1" t="s">
        <v>580</v>
      </c>
      <c r="D188" s="1" t="s">
        <v>581</v>
      </c>
      <c r="F188" s="1" t="s">
        <v>34</v>
      </c>
      <c r="G188" s="1" t="s">
        <v>598</v>
      </c>
      <c r="H188" s="13" t="b">
        <v>0</v>
      </c>
      <c r="I188" s="1">
        <v>9</v>
      </c>
    </row>
    <row r="189" spans="2:9" x14ac:dyDescent="0.3">
      <c r="B189" s="1">
        <v>185</v>
      </c>
      <c r="C189" s="1" t="s">
        <v>128</v>
      </c>
      <c r="D189" s="1" t="s">
        <v>129</v>
      </c>
      <c r="F189" s="1" t="s">
        <v>130</v>
      </c>
      <c r="G189" s="1" t="s">
        <v>131</v>
      </c>
      <c r="H189" s="13" t="b">
        <v>0</v>
      </c>
      <c r="I189" s="1">
        <v>9</v>
      </c>
    </row>
    <row r="190" spans="2:9" x14ac:dyDescent="0.3">
      <c r="B190" s="1">
        <v>186</v>
      </c>
      <c r="C190" s="17" t="s">
        <v>669</v>
      </c>
      <c r="D190" s="1" t="s">
        <v>670</v>
      </c>
      <c r="F190" s="1" t="s">
        <v>25</v>
      </c>
      <c r="G190" s="1" t="s">
        <v>671</v>
      </c>
      <c r="H190" s="13" t="b">
        <v>0</v>
      </c>
      <c r="I190" s="1">
        <v>9</v>
      </c>
    </row>
    <row r="191" spans="2:9" x14ac:dyDescent="0.3">
      <c r="B191" s="1">
        <v>187</v>
      </c>
      <c r="C191" s="1" t="s">
        <v>637</v>
      </c>
      <c r="F191" s="1" t="s">
        <v>25</v>
      </c>
      <c r="G191" s="1" t="s">
        <v>638</v>
      </c>
      <c r="H191" s="13" t="b">
        <v>1</v>
      </c>
      <c r="I191" s="1">
        <v>9</v>
      </c>
    </row>
    <row r="192" spans="2:9" x14ac:dyDescent="0.3">
      <c r="B192" s="1">
        <v>188</v>
      </c>
      <c r="C192" s="1" t="s">
        <v>580</v>
      </c>
      <c r="D192" s="1" t="s">
        <v>581</v>
      </c>
      <c r="F192" s="1" t="s">
        <v>34</v>
      </c>
      <c r="G192" s="1" t="s">
        <v>598</v>
      </c>
      <c r="H192" s="13" t="b">
        <v>0</v>
      </c>
      <c r="I192" s="1">
        <v>9</v>
      </c>
    </row>
    <row r="193" spans="2:9" x14ac:dyDescent="0.3">
      <c r="B193" s="1">
        <v>189</v>
      </c>
      <c r="C193" s="17" t="s">
        <v>672</v>
      </c>
      <c r="D193" s="1" t="s">
        <v>673</v>
      </c>
      <c r="F193" s="1" t="s">
        <v>25</v>
      </c>
      <c r="G193" s="1" t="s">
        <v>674</v>
      </c>
      <c r="H193" s="13" t="b">
        <v>0</v>
      </c>
      <c r="I193" s="1">
        <v>9</v>
      </c>
    </row>
    <row r="194" spans="2:9" x14ac:dyDescent="0.3">
      <c r="B194" s="1">
        <v>190</v>
      </c>
      <c r="C194" s="1" t="s">
        <v>520</v>
      </c>
      <c r="D194" s="1" t="s">
        <v>521</v>
      </c>
      <c r="F194" s="1" t="s">
        <v>25</v>
      </c>
      <c r="G194" s="1" t="s">
        <v>522</v>
      </c>
      <c r="H194" s="13" t="b">
        <v>0</v>
      </c>
      <c r="I194" s="1">
        <v>11</v>
      </c>
    </row>
    <row r="195" spans="2:9" x14ac:dyDescent="0.3">
      <c r="B195" s="1">
        <v>191</v>
      </c>
      <c r="C195" s="1" t="s">
        <v>533</v>
      </c>
      <c r="D195" s="1" t="s">
        <v>534</v>
      </c>
      <c r="F195" s="1" t="s">
        <v>25</v>
      </c>
      <c r="G195" s="1" t="s">
        <v>535</v>
      </c>
      <c r="H195" s="13" t="b">
        <v>0</v>
      </c>
      <c r="I195" s="1">
        <v>11</v>
      </c>
    </row>
    <row r="196" spans="2:9" x14ac:dyDescent="0.3">
      <c r="B196" s="1">
        <v>192</v>
      </c>
      <c r="C196" s="1" t="s">
        <v>39</v>
      </c>
      <c r="F196" s="1" t="s">
        <v>25</v>
      </c>
      <c r="G196" s="1" t="s">
        <v>40</v>
      </c>
      <c r="H196" s="13" t="b">
        <v>0</v>
      </c>
      <c r="I196" s="1">
        <v>11</v>
      </c>
    </row>
    <row r="197" spans="2:9" x14ac:dyDescent="0.3">
      <c r="B197" s="1">
        <v>193</v>
      </c>
      <c r="C197" s="1" t="s">
        <v>682</v>
      </c>
      <c r="D197" s="1" t="s">
        <v>683</v>
      </c>
      <c r="E197" s="18"/>
      <c r="F197" s="1" t="s">
        <v>25</v>
      </c>
      <c r="G197" s="1" t="s">
        <v>684</v>
      </c>
      <c r="H197" s="13" t="b">
        <v>0</v>
      </c>
      <c r="I197" s="1">
        <v>11</v>
      </c>
    </row>
    <row r="198" spans="2:9" x14ac:dyDescent="0.3">
      <c r="B198" s="1">
        <v>194</v>
      </c>
      <c r="C198" s="1" t="s">
        <v>543</v>
      </c>
      <c r="D198" s="1" t="s">
        <v>544</v>
      </c>
      <c r="F198" s="1" t="s">
        <v>25</v>
      </c>
      <c r="G198" s="1" t="s">
        <v>545</v>
      </c>
      <c r="H198" s="13" t="b">
        <v>0</v>
      </c>
      <c r="I198" s="1">
        <v>11</v>
      </c>
    </row>
    <row r="199" spans="2:9" x14ac:dyDescent="0.3">
      <c r="B199" s="1">
        <v>195</v>
      </c>
      <c r="C199" s="1" t="s">
        <v>672</v>
      </c>
      <c r="D199" s="1" t="s">
        <v>673</v>
      </c>
      <c r="F199" s="1" t="s">
        <v>25</v>
      </c>
      <c r="G199" s="1" t="s">
        <v>674</v>
      </c>
      <c r="H199" s="13" t="b">
        <v>0</v>
      </c>
      <c r="I199" s="1">
        <v>11</v>
      </c>
    </row>
    <row r="200" spans="2:9" x14ac:dyDescent="0.3">
      <c r="B200" s="1">
        <v>196</v>
      </c>
      <c r="C200" s="1" t="s">
        <v>698</v>
      </c>
      <c r="F200" s="1" t="s">
        <v>25</v>
      </c>
      <c r="G200" s="1" t="s">
        <v>699</v>
      </c>
      <c r="H200" s="13" t="b">
        <v>0</v>
      </c>
      <c r="I200" s="1">
        <v>11</v>
      </c>
    </row>
    <row r="201" spans="2:9" x14ac:dyDescent="0.3">
      <c r="B201" s="1">
        <v>197</v>
      </c>
      <c r="C201" s="1" t="s">
        <v>685</v>
      </c>
      <c r="D201" s="1" t="s">
        <v>686</v>
      </c>
      <c r="F201" s="1" t="s">
        <v>25</v>
      </c>
      <c r="G201" s="1" t="s">
        <v>687</v>
      </c>
      <c r="H201" s="13" t="b">
        <v>0</v>
      </c>
      <c r="I201" s="1">
        <v>11</v>
      </c>
    </row>
    <row r="202" spans="2:9" x14ac:dyDescent="0.3">
      <c r="B202" s="1">
        <v>198</v>
      </c>
      <c r="C202" s="1" t="s">
        <v>526</v>
      </c>
      <c r="D202" s="1" t="s">
        <v>527</v>
      </c>
      <c r="F202" s="1" t="s">
        <v>25</v>
      </c>
      <c r="G202" s="1" t="s">
        <v>528</v>
      </c>
      <c r="H202" s="13" t="b">
        <v>0</v>
      </c>
      <c r="I202" s="1">
        <v>11</v>
      </c>
    </row>
    <row r="203" spans="2:9" x14ac:dyDescent="0.3">
      <c r="B203" s="1">
        <v>199</v>
      </c>
      <c r="C203" s="1" t="s">
        <v>565</v>
      </c>
      <c r="F203" s="1" t="s">
        <v>25</v>
      </c>
      <c r="G203" s="1" t="s">
        <v>566</v>
      </c>
      <c r="H203" s="13" t="b">
        <v>0</v>
      </c>
      <c r="I203" s="1">
        <v>11</v>
      </c>
    </row>
    <row r="204" spans="2:9" x14ac:dyDescent="0.3">
      <c r="B204" s="1">
        <v>200</v>
      </c>
      <c r="C204" s="1" t="s">
        <v>688</v>
      </c>
      <c r="F204" s="1" t="s">
        <v>25</v>
      </c>
      <c r="G204" s="1" t="s">
        <v>689</v>
      </c>
      <c r="H204" s="13" t="b">
        <v>1</v>
      </c>
      <c r="I204" s="1">
        <v>11</v>
      </c>
    </row>
    <row r="205" spans="2:9" x14ac:dyDescent="0.3">
      <c r="B205" s="1">
        <v>201</v>
      </c>
      <c r="C205" s="1" t="s">
        <v>565</v>
      </c>
      <c r="F205" s="1" t="s">
        <v>25</v>
      </c>
      <c r="G205" s="1" t="s">
        <v>566</v>
      </c>
      <c r="H205" s="13" t="b">
        <v>0</v>
      </c>
      <c r="I205" s="1">
        <v>11</v>
      </c>
    </row>
    <row r="206" spans="2:9" x14ac:dyDescent="0.3">
      <c r="B206" s="1">
        <v>202</v>
      </c>
      <c r="C206" s="1" t="s">
        <v>690</v>
      </c>
      <c r="F206" s="1" t="s">
        <v>25</v>
      </c>
      <c r="G206" s="1" t="s">
        <v>691</v>
      </c>
      <c r="H206" s="13" t="b">
        <v>1</v>
      </c>
      <c r="I206" s="1">
        <v>11</v>
      </c>
    </row>
    <row r="207" spans="2:9" x14ac:dyDescent="0.3">
      <c r="B207" s="1">
        <v>203</v>
      </c>
      <c r="C207" s="1" t="s">
        <v>692</v>
      </c>
      <c r="D207" s="1" t="s">
        <v>693</v>
      </c>
      <c r="F207" s="1" t="s">
        <v>25</v>
      </c>
      <c r="G207" s="1" t="s">
        <v>694</v>
      </c>
      <c r="H207" s="13" t="b">
        <v>0</v>
      </c>
      <c r="I207" s="1">
        <v>11</v>
      </c>
    </row>
    <row r="208" spans="2:9" x14ac:dyDescent="0.3">
      <c r="B208" s="1">
        <v>204</v>
      </c>
      <c r="C208" s="1" t="s">
        <v>63</v>
      </c>
      <c r="D208" s="1" t="s">
        <v>64</v>
      </c>
      <c r="F208" s="1" t="s">
        <v>25</v>
      </c>
      <c r="G208" s="1" t="s">
        <v>65</v>
      </c>
      <c r="H208" s="13" t="b">
        <v>0</v>
      </c>
      <c r="I208" s="1">
        <v>11</v>
      </c>
    </row>
    <row r="209" spans="2:9" x14ac:dyDescent="0.3">
      <c r="B209" s="1">
        <v>205</v>
      </c>
      <c r="C209" s="1" t="s">
        <v>695</v>
      </c>
      <c r="D209" s="1" t="s">
        <v>696</v>
      </c>
      <c r="F209" s="1" t="s">
        <v>25</v>
      </c>
      <c r="G209" s="1" t="s">
        <v>697</v>
      </c>
      <c r="H209" s="13" t="b">
        <v>0</v>
      </c>
      <c r="I209" s="1">
        <v>11</v>
      </c>
    </row>
    <row r="210" spans="2:9" x14ac:dyDescent="0.3">
      <c r="B210" s="1">
        <v>206</v>
      </c>
      <c r="C210" s="1" t="s">
        <v>543</v>
      </c>
      <c r="D210" s="1" t="s">
        <v>544</v>
      </c>
      <c r="F210" s="1" t="s">
        <v>25</v>
      </c>
      <c r="G210" s="1" t="s">
        <v>545</v>
      </c>
      <c r="H210" s="13" t="b">
        <v>0</v>
      </c>
      <c r="I210" s="1">
        <v>11</v>
      </c>
    </row>
    <row r="211" spans="2:9" x14ac:dyDescent="0.3">
      <c r="B211" s="1">
        <v>207</v>
      </c>
      <c r="C211" s="1" t="s">
        <v>672</v>
      </c>
      <c r="D211" s="1" t="s">
        <v>673</v>
      </c>
      <c r="F211" s="1" t="s">
        <v>25</v>
      </c>
      <c r="G211" s="1" t="s">
        <v>674</v>
      </c>
      <c r="H211" s="13" t="b">
        <v>0</v>
      </c>
      <c r="I211" s="1">
        <v>11</v>
      </c>
    </row>
    <row r="212" spans="2:9" x14ac:dyDescent="0.3">
      <c r="B212" s="1">
        <v>208</v>
      </c>
      <c r="C212" s="1" t="s">
        <v>600</v>
      </c>
      <c r="D212" s="1" t="s">
        <v>602</v>
      </c>
      <c r="F212" s="1" t="s">
        <v>601</v>
      </c>
      <c r="G212" s="1" t="s">
        <v>606</v>
      </c>
      <c r="H212" s="13" t="b">
        <v>0</v>
      </c>
      <c r="I212" s="1">
        <v>11</v>
      </c>
    </row>
    <row r="213" spans="2:9" x14ac:dyDescent="0.3">
      <c r="B213" s="1">
        <v>209</v>
      </c>
      <c r="C213" s="17" t="s">
        <v>700</v>
      </c>
      <c r="D213" s="1" t="s">
        <v>701</v>
      </c>
      <c r="F213" s="1" t="s">
        <v>25</v>
      </c>
      <c r="G213" s="1" t="s">
        <v>702</v>
      </c>
      <c r="H213" s="13" t="b">
        <v>0</v>
      </c>
      <c r="I213" s="1">
        <v>12</v>
      </c>
    </row>
    <row r="214" spans="2:9" x14ac:dyDescent="0.3">
      <c r="B214" s="1">
        <v>210</v>
      </c>
      <c r="C214" s="1" t="s">
        <v>538</v>
      </c>
      <c r="D214" s="1" t="s">
        <v>539</v>
      </c>
      <c r="F214" s="1" t="s">
        <v>25</v>
      </c>
      <c r="G214" s="1" t="s">
        <v>540</v>
      </c>
      <c r="H214" s="13" t="b">
        <v>0</v>
      </c>
      <c r="I214" s="1">
        <v>12</v>
      </c>
    </row>
    <row r="215" spans="2:9" x14ac:dyDescent="0.3">
      <c r="B215" s="1">
        <v>211</v>
      </c>
      <c r="C215" s="1" t="s">
        <v>533</v>
      </c>
      <c r="D215" s="1" t="s">
        <v>534</v>
      </c>
      <c r="F215" s="1" t="s">
        <v>25</v>
      </c>
      <c r="G215" s="1" t="s">
        <v>535</v>
      </c>
      <c r="H215" s="13" t="b">
        <v>0</v>
      </c>
      <c r="I215" s="1">
        <v>12</v>
      </c>
    </row>
    <row r="216" spans="2:9" x14ac:dyDescent="0.3">
      <c r="B216" s="1">
        <v>212</v>
      </c>
      <c r="C216" s="1" t="s">
        <v>39</v>
      </c>
      <c r="F216" s="1" t="s">
        <v>25</v>
      </c>
      <c r="G216" s="1" t="s">
        <v>40</v>
      </c>
      <c r="H216" s="13" t="b">
        <v>0</v>
      </c>
      <c r="I216" s="1">
        <v>12</v>
      </c>
    </row>
    <row r="217" spans="2:9" x14ac:dyDescent="0.3">
      <c r="B217" s="1">
        <v>213</v>
      </c>
      <c r="C217" s="1" t="s">
        <v>682</v>
      </c>
      <c r="D217" s="1" t="s">
        <v>683</v>
      </c>
      <c r="E217" s="18"/>
      <c r="F217" s="1" t="s">
        <v>25</v>
      </c>
      <c r="G217" s="1" t="s">
        <v>684</v>
      </c>
      <c r="H217" s="13" t="b">
        <v>0</v>
      </c>
      <c r="I217" s="1">
        <v>12</v>
      </c>
    </row>
    <row r="218" spans="2:9" x14ac:dyDescent="0.3">
      <c r="B218" s="1">
        <v>214</v>
      </c>
      <c r="C218" s="1" t="s">
        <v>704</v>
      </c>
      <c r="D218" s="1" t="s">
        <v>705</v>
      </c>
      <c r="F218" s="1" t="s">
        <v>25</v>
      </c>
      <c r="G218" s="1" t="s">
        <v>530</v>
      </c>
      <c r="H218" s="13" t="b">
        <v>0</v>
      </c>
      <c r="I218" s="1">
        <v>12</v>
      </c>
    </row>
    <row r="219" spans="2:9" x14ac:dyDescent="0.3">
      <c r="B219" s="1">
        <v>215</v>
      </c>
      <c r="C219" s="1" t="s">
        <v>706</v>
      </c>
      <c r="F219" s="1" t="s">
        <v>25</v>
      </c>
      <c r="G219" s="1" t="s">
        <v>707</v>
      </c>
      <c r="H219" s="13" t="b">
        <v>1</v>
      </c>
      <c r="I219" s="1">
        <v>12</v>
      </c>
    </row>
    <row r="220" spans="2:9" x14ac:dyDescent="0.3">
      <c r="B220" s="1">
        <v>216</v>
      </c>
      <c r="C220" s="1" t="s">
        <v>708</v>
      </c>
      <c r="D220" s="1" t="s">
        <v>709</v>
      </c>
      <c r="F220" s="1" t="s">
        <v>34</v>
      </c>
      <c r="G220" s="1" t="s">
        <v>710</v>
      </c>
      <c r="H220" s="13" t="b">
        <v>0</v>
      </c>
      <c r="I220" s="1">
        <v>12</v>
      </c>
    </row>
    <row r="221" spans="2:9" x14ac:dyDescent="0.3">
      <c r="B221" s="1">
        <v>217</v>
      </c>
      <c r="C221" s="1" t="s">
        <v>711</v>
      </c>
      <c r="D221" s="1" t="s">
        <v>712</v>
      </c>
      <c r="F221" s="1" t="s">
        <v>130</v>
      </c>
      <c r="G221" s="1" t="s">
        <v>713</v>
      </c>
      <c r="H221" s="13" t="b">
        <v>0</v>
      </c>
      <c r="I221" s="1">
        <v>12</v>
      </c>
    </row>
    <row r="222" spans="2:9" x14ac:dyDescent="0.3">
      <c r="B222" s="1">
        <v>218</v>
      </c>
      <c r="C222" s="1" t="s">
        <v>714</v>
      </c>
      <c r="D222" s="1" t="s">
        <v>531</v>
      </c>
      <c r="F222" s="1" t="s">
        <v>34</v>
      </c>
      <c r="G222" s="1" t="s">
        <v>715</v>
      </c>
      <c r="H222" s="13" t="b">
        <v>0</v>
      </c>
      <c r="I222" s="1">
        <v>12</v>
      </c>
    </row>
    <row r="223" spans="2:9" x14ac:dyDescent="0.3">
      <c r="B223" s="1">
        <v>219</v>
      </c>
      <c r="C223" s="1" t="s">
        <v>716</v>
      </c>
      <c r="F223" s="1" t="s">
        <v>25</v>
      </c>
      <c r="G223" s="1" t="s">
        <v>717</v>
      </c>
      <c r="H223" s="13" t="b">
        <v>1</v>
      </c>
      <c r="I223" s="1">
        <v>12</v>
      </c>
    </row>
    <row r="224" spans="2:9" x14ac:dyDescent="0.3">
      <c r="B224" s="1">
        <v>220</v>
      </c>
      <c r="C224" s="1" t="s">
        <v>718</v>
      </c>
      <c r="F224" s="1" t="s">
        <v>25</v>
      </c>
      <c r="G224" s="1" t="s">
        <v>719</v>
      </c>
      <c r="H224" s="13" t="b">
        <v>0</v>
      </c>
      <c r="I224" s="1">
        <v>12</v>
      </c>
    </row>
    <row r="225" spans="2:14" x14ac:dyDescent="0.3">
      <c r="B225" s="1">
        <v>221</v>
      </c>
      <c r="C225" s="1" t="s">
        <v>39</v>
      </c>
      <c r="F225" s="1" t="s">
        <v>25</v>
      </c>
      <c r="G225" s="1" t="s">
        <v>40</v>
      </c>
      <c r="H225" s="13" t="b">
        <v>0</v>
      </c>
      <c r="I225" s="1">
        <v>12</v>
      </c>
    </row>
    <row r="226" spans="2:14" x14ac:dyDescent="0.3">
      <c r="B226" s="1">
        <v>222</v>
      </c>
      <c r="C226" s="1" t="s">
        <v>543</v>
      </c>
      <c r="D226" s="1" t="s">
        <v>544</v>
      </c>
      <c r="F226" s="1" t="s">
        <v>25</v>
      </c>
      <c r="G226" s="1" t="s">
        <v>545</v>
      </c>
      <c r="H226" s="13" t="b">
        <v>0</v>
      </c>
      <c r="I226" s="1">
        <v>12</v>
      </c>
    </row>
    <row r="227" spans="2:14" x14ac:dyDescent="0.3">
      <c r="B227" s="1">
        <v>223</v>
      </c>
      <c r="C227" s="1" t="s">
        <v>737</v>
      </c>
      <c r="F227" s="1" t="s">
        <v>25</v>
      </c>
      <c r="G227" s="1" t="s">
        <v>738</v>
      </c>
      <c r="H227" s="13" t="b">
        <v>0</v>
      </c>
      <c r="I227" s="1">
        <v>13</v>
      </c>
    </row>
    <row r="228" spans="2:14" x14ac:dyDescent="0.3">
      <c r="B228" s="1">
        <v>224</v>
      </c>
      <c r="C228" s="1" t="s">
        <v>703</v>
      </c>
      <c r="F228" s="1" t="s">
        <v>25</v>
      </c>
      <c r="G228" s="1" t="s">
        <v>720</v>
      </c>
      <c r="H228" s="13" t="b">
        <v>0</v>
      </c>
      <c r="I228" s="1">
        <v>12</v>
      </c>
    </row>
    <row r="229" spans="2:14" x14ac:dyDescent="0.3">
      <c r="B229" s="1">
        <v>225</v>
      </c>
      <c r="C229" s="1" t="s">
        <v>39</v>
      </c>
      <c r="F229" s="1" t="s">
        <v>25</v>
      </c>
      <c r="G229" s="1" t="s">
        <v>40</v>
      </c>
      <c r="H229" s="13" t="b">
        <v>0</v>
      </c>
      <c r="I229" s="1">
        <v>12</v>
      </c>
    </row>
    <row r="230" spans="2:14" x14ac:dyDescent="0.3">
      <c r="B230" s="1">
        <v>226</v>
      </c>
      <c r="C230" s="1" t="s">
        <v>600</v>
      </c>
      <c r="D230" s="1" t="s">
        <v>602</v>
      </c>
      <c r="F230" s="1" t="s">
        <v>601</v>
      </c>
      <c r="G230" s="1" t="s">
        <v>606</v>
      </c>
      <c r="H230" s="13" t="b">
        <v>0</v>
      </c>
      <c r="I230" s="1">
        <v>12</v>
      </c>
    </row>
    <row r="231" spans="2:14" x14ac:dyDescent="0.3">
      <c r="B231" s="1">
        <v>227</v>
      </c>
      <c r="C231" s="1" t="s">
        <v>39</v>
      </c>
      <c r="F231" s="1" t="s">
        <v>25</v>
      </c>
      <c r="G231" s="1" t="s">
        <v>40</v>
      </c>
      <c r="H231" s="13" t="b">
        <v>0</v>
      </c>
      <c r="I231" s="1">
        <v>12</v>
      </c>
    </row>
    <row r="232" spans="2:14" x14ac:dyDescent="0.3">
      <c r="B232" s="1">
        <v>228</v>
      </c>
      <c r="C232" s="1" t="s">
        <v>721</v>
      </c>
      <c r="D232" s="1" t="s">
        <v>722</v>
      </c>
      <c r="F232" s="1" t="s">
        <v>601</v>
      </c>
      <c r="G232" s="1" t="s">
        <v>723</v>
      </c>
      <c r="H232" s="13" t="b">
        <v>0</v>
      </c>
      <c r="I232" s="1">
        <v>12</v>
      </c>
    </row>
    <row r="233" spans="2:14" x14ac:dyDescent="0.3">
      <c r="B233" s="1">
        <v>229</v>
      </c>
      <c r="C233" s="1" t="s">
        <v>726</v>
      </c>
      <c r="D233" s="1" t="s">
        <v>729</v>
      </c>
      <c r="E233" s="1" t="s">
        <v>727</v>
      </c>
      <c r="F233" s="1" t="s">
        <v>25</v>
      </c>
      <c r="G233" s="1" t="s">
        <v>728</v>
      </c>
      <c r="H233" s="13" t="b">
        <v>0</v>
      </c>
      <c r="I233" s="1">
        <v>12</v>
      </c>
      <c r="K233" s="1" t="s">
        <v>560</v>
      </c>
      <c r="L233" s="1" t="s">
        <v>561</v>
      </c>
      <c r="N233" s="13" t="b">
        <v>0</v>
      </c>
    </row>
    <row r="234" spans="2:14" x14ac:dyDescent="0.3">
      <c r="B234" s="1">
        <v>230</v>
      </c>
      <c r="C234" s="1" t="s">
        <v>724</v>
      </c>
      <c r="F234" s="1" t="s">
        <v>25</v>
      </c>
      <c r="G234" s="1" t="s">
        <v>725</v>
      </c>
      <c r="H234" s="13" t="b">
        <v>1</v>
      </c>
      <c r="I234" s="1">
        <v>12</v>
      </c>
    </row>
    <row r="235" spans="2:14" x14ac:dyDescent="0.3">
      <c r="B235" s="1">
        <v>231</v>
      </c>
      <c r="C235" s="1" t="s">
        <v>614</v>
      </c>
      <c r="D235" s="1" t="s">
        <v>615</v>
      </c>
      <c r="F235" s="1" t="s">
        <v>25</v>
      </c>
      <c r="G235" s="1" t="s">
        <v>730</v>
      </c>
      <c r="H235" s="13" t="b">
        <v>0</v>
      </c>
      <c r="I235" s="1">
        <v>12</v>
      </c>
    </row>
    <row r="236" spans="2:14" x14ac:dyDescent="0.3">
      <c r="B236" s="1">
        <v>232</v>
      </c>
      <c r="C236" s="1" t="s">
        <v>72</v>
      </c>
      <c r="F236" s="1" t="s">
        <v>25</v>
      </c>
      <c r="G236" s="1" t="s">
        <v>73</v>
      </c>
      <c r="H236" s="13" t="b">
        <v>0</v>
      </c>
      <c r="I236" s="1">
        <v>12</v>
      </c>
    </row>
    <row r="237" spans="2:14" x14ac:dyDescent="0.3">
      <c r="B237" s="1">
        <v>233</v>
      </c>
      <c r="C237" s="1" t="s">
        <v>731</v>
      </c>
      <c r="F237" s="1" t="s">
        <v>25</v>
      </c>
      <c r="G237" s="1" t="s">
        <v>732</v>
      </c>
      <c r="H237" s="13" t="b">
        <v>0</v>
      </c>
      <c r="I237" s="1">
        <v>12</v>
      </c>
    </row>
    <row r="238" spans="2:14" x14ac:dyDescent="0.3">
      <c r="B238" s="1">
        <v>234</v>
      </c>
      <c r="C238" s="1" t="s">
        <v>558</v>
      </c>
      <c r="D238" s="1" t="s">
        <v>531</v>
      </c>
      <c r="F238" s="1" t="s">
        <v>25</v>
      </c>
      <c r="G238" s="1" t="s">
        <v>559</v>
      </c>
      <c r="H238" s="13" t="b">
        <v>0</v>
      </c>
      <c r="I238" s="1">
        <v>12</v>
      </c>
    </row>
    <row r="239" spans="2:14" x14ac:dyDescent="0.3">
      <c r="B239" s="1">
        <v>235</v>
      </c>
      <c r="C239" s="1" t="s">
        <v>733</v>
      </c>
      <c r="D239" s="1" t="s">
        <v>734</v>
      </c>
      <c r="F239" s="1" t="s">
        <v>130</v>
      </c>
      <c r="G239" s="1" t="s">
        <v>735</v>
      </c>
      <c r="H239" s="13" t="b">
        <v>0</v>
      </c>
      <c r="I239" s="1">
        <v>12</v>
      </c>
    </row>
    <row r="240" spans="2:14" x14ac:dyDescent="0.3">
      <c r="B240" s="1">
        <v>236</v>
      </c>
      <c r="C240" s="1" t="s">
        <v>543</v>
      </c>
      <c r="D240" s="1" t="s">
        <v>544</v>
      </c>
      <c r="F240" s="1" t="s">
        <v>25</v>
      </c>
      <c r="G240" s="1" t="s">
        <v>545</v>
      </c>
      <c r="H240" s="13" t="b">
        <v>0</v>
      </c>
      <c r="I240" s="1">
        <v>12</v>
      </c>
    </row>
    <row r="241" spans="2:9" x14ac:dyDescent="0.3">
      <c r="B241" s="1">
        <v>237</v>
      </c>
      <c r="C241" s="1" t="s">
        <v>700</v>
      </c>
      <c r="D241" s="1" t="s">
        <v>701</v>
      </c>
      <c r="F241" s="1" t="s">
        <v>25</v>
      </c>
      <c r="G241" s="1" t="s">
        <v>702</v>
      </c>
      <c r="H241" s="13" t="b">
        <v>0</v>
      </c>
      <c r="I241" s="1">
        <v>12</v>
      </c>
    </row>
    <row r="242" spans="2:9" x14ac:dyDescent="0.3">
      <c r="B242" s="1">
        <v>238</v>
      </c>
      <c r="C242" s="1" t="s">
        <v>600</v>
      </c>
      <c r="D242" s="1" t="s">
        <v>602</v>
      </c>
      <c r="F242" s="1" t="s">
        <v>601</v>
      </c>
      <c r="G242" s="1" t="s">
        <v>606</v>
      </c>
      <c r="H242" s="13" t="b">
        <v>0</v>
      </c>
      <c r="I242" s="1">
        <v>12</v>
      </c>
    </row>
  </sheetData>
  <conditionalFormatting sqref="B56 C73:E73 G73:H73 B57:E57 G57:H57 B60:H63 H214:H221 C222:H222 B233:H233 H234:H242 B21 H21 B37:H55 B22:H35 B36 H36 G59:H59 B59:E59 B58 H58 B65:H71 B64 H64 B72:B74 H74 B75:H191 B5:H10 B12:H20 B11 H11 H223:H232 K156:N159 K233:N233">
    <cfRule type="expression" dxfId="7" priority="19">
      <formula>$E5&lt;&gt;""</formula>
    </cfRule>
  </conditionalFormatting>
  <conditionalFormatting sqref="C56:H56">
    <cfRule type="expression" dxfId="6" priority="17">
      <formula>$E56&lt;&gt;""</formula>
    </cfRule>
  </conditionalFormatting>
  <conditionalFormatting sqref="F57 F59">
    <cfRule type="expression" dxfId="5" priority="16">
      <formula>$E57&lt;&gt;""</formula>
    </cfRule>
  </conditionalFormatting>
  <conditionalFormatting sqref="C72:H72">
    <cfRule type="expression" dxfId="4" priority="15">
      <formula>$E72&lt;&gt;""</formula>
    </cfRule>
  </conditionalFormatting>
  <conditionalFormatting sqref="F73">
    <cfRule type="expression" dxfId="3" priority="13">
      <formula>$E73&lt;&gt;""</formula>
    </cfRule>
  </conditionalFormatting>
  <conditionalFormatting sqref="C192:H192">
    <cfRule type="expression" dxfId="2" priority="8">
      <formula>$E192&lt;&gt;""</formula>
    </cfRule>
  </conditionalFormatting>
  <conditionalFormatting sqref="C193:H193 C213:H213 H193:H212">
    <cfRule type="expression" dxfId="1" priority="6">
      <formula>$E193&lt;&gt;""</formula>
    </cfRule>
  </conditionalFormatting>
  <conditionalFormatting sqref="G218">
    <cfRule type="expression" dxfId="0" priority="3">
      <formula>$E218&lt;&gt;""</formula>
    </cfRule>
  </conditionalFormatting>
  <conditionalFormatting sqref="I5:I242">
    <cfRule type="colorScale" priority="87">
      <colorScale>
        <cfvo type="min"/>
        <cfvo type="percentile" val="50"/>
        <cfvo type="max"/>
        <color theme="0" tint="-4.9989318521683403E-2"/>
        <color theme="4" tint="0.59999389629810485"/>
        <color theme="6" tint="0.39997558519241921"/>
      </colorScale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FB49E-8465-4DB4-BD62-50B3B5687C34}">
  <sheetPr codeName="Sheet5"/>
  <dimension ref="B2:J48"/>
  <sheetViews>
    <sheetView showGridLines="0" workbookViewId="0">
      <pane ySplit="2" topLeftCell="A3" activePane="bottomLeft" state="frozenSplit"/>
      <selection activeCell="I13" sqref="I13"/>
      <selection pane="bottomLeft" activeCell="B5" sqref="B5"/>
    </sheetView>
  </sheetViews>
  <sheetFormatPr defaultColWidth="9.23046875" defaultRowHeight="18.75" x14ac:dyDescent="0.3"/>
  <cols>
    <col min="1" max="1" width="1.3046875" style="1" customWidth="1"/>
    <col min="2" max="2" width="9.23046875" style="1"/>
    <col min="3" max="3" width="21.69140625" style="1" customWidth="1"/>
    <col min="4" max="4" width="7.61328125" style="1" bestFit="1" customWidth="1"/>
    <col min="5" max="5" width="21.69140625" style="1" customWidth="1"/>
    <col min="6" max="6" width="7.69140625" style="1" bestFit="1" customWidth="1"/>
    <col min="7" max="7" width="21.69140625" style="1" customWidth="1"/>
    <col min="8" max="8" width="65.69140625" style="1" bestFit="1" customWidth="1"/>
    <col min="9" max="9" width="8.921875" style="1" bestFit="1" customWidth="1"/>
    <col min="10" max="16384" width="9.23046875" style="1"/>
  </cols>
  <sheetData>
    <row r="2" spans="2:10" ht="20.25" thickBot="1" x14ac:dyDescent="0.35">
      <c r="B2" s="12" t="s">
        <v>135</v>
      </c>
      <c r="C2" s="12"/>
      <c r="D2" s="12"/>
      <c r="E2" s="12"/>
      <c r="F2" s="12"/>
      <c r="G2" s="12"/>
      <c r="H2" s="12"/>
      <c r="I2" s="12"/>
      <c r="J2" s="12"/>
    </row>
    <row r="3" spans="2:10" ht="19.5" thickTop="1" x14ac:dyDescent="0.3"/>
    <row r="4" spans="2:10" x14ac:dyDescent="0.3">
      <c r="B4" s="5" t="s">
        <v>20</v>
      </c>
      <c r="C4" s="5" t="s">
        <v>21</v>
      </c>
      <c r="D4" s="5" t="s">
        <v>22</v>
      </c>
      <c r="E4" s="5" t="s">
        <v>15</v>
      </c>
      <c r="F4" s="5" t="s">
        <v>136</v>
      </c>
      <c r="G4" s="5" t="s">
        <v>16</v>
      </c>
      <c r="H4" s="5" t="s">
        <v>17</v>
      </c>
      <c r="I4" s="5" t="s">
        <v>18</v>
      </c>
    </row>
    <row r="5" spans="2:10" x14ac:dyDescent="0.3">
      <c r="B5" s="1" t="str" cm="1">
        <f t="array" ref="B5">IFERROR(_xlfn.SEQUENCE(COUNTA(_xlfn._TRO_ALL(C:C))-1),"")</f>
        <v/>
      </c>
      <c r="I5" s="13" t="b">
        <v>0</v>
      </c>
    </row>
    <row r="6" spans="2:10" x14ac:dyDescent="0.3">
      <c r="I6" s="13" t="b">
        <v>0</v>
      </c>
    </row>
    <row r="7" spans="2:10" x14ac:dyDescent="0.3">
      <c r="I7" s="13" t="b">
        <v>0</v>
      </c>
    </row>
    <row r="8" spans="2:10" x14ac:dyDescent="0.3">
      <c r="I8" s="13" t="b">
        <v>0</v>
      </c>
    </row>
    <row r="9" spans="2:10" x14ac:dyDescent="0.3">
      <c r="I9" s="13" t="b">
        <v>0</v>
      </c>
    </row>
    <row r="10" spans="2:10" x14ac:dyDescent="0.3">
      <c r="I10" s="13" t="b">
        <v>0</v>
      </c>
    </row>
    <row r="11" spans="2:10" x14ac:dyDescent="0.3">
      <c r="I11" s="13" t="b">
        <v>0</v>
      </c>
    </row>
    <row r="12" spans="2:10" x14ac:dyDescent="0.3">
      <c r="I12" s="13" t="b">
        <v>0</v>
      </c>
    </row>
    <row r="13" spans="2:10" x14ac:dyDescent="0.3">
      <c r="I13" s="13" t="b">
        <v>0</v>
      </c>
    </row>
    <row r="14" spans="2:10" x14ac:dyDescent="0.3">
      <c r="I14" s="13" t="b">
        <v>0</v>
      </c>
    </row>
    <row r="15" spans="2:10" x14ac:dyDescent="0.3">
      <c r="I15" s="13" t="b">
        <v>0</v>
      </c>
    </row>
    <row r="16" spans="2:10" x14ac:dyDescent="0.3">
      <c r="I16" s="13" t="b">
        <v>0</v>
      </c>
    </row>
    <row r="17" spans="9:9" x14ac:dyDescent="0.3">
      <c r="I17" s="13" t="b">
        <v>0</v>
      </c>
    </row>
    <row r="18" spans="9:9" x14ac:dyDescent="0.3">
      <c r="I18" s="13" t="b">
        <v>0</v>
      </c>
    </row>
    <row r="19" spans="9:9" x14ac:dyDescent="0.3">
      <c r="I19" s="13" t="b">
        <v>0</v>
      </c>
    </row>
    <row r="20" spans="9:9" x14ac:dyDescent="0.3">
      <c r="I20" s="13" t="b">
        <v>0</v>
      </c>
    </row>
    <row r="21" spans="9:9" x14ac:dyDescent="0.3">
      <c r="I21" s="13" t="b">
        <v>0</v>
      </c>
    </row>
    <row r="22" spans="9:9" x14ac:dyDescent="0.3">
      <c r="I22" s="13" t="b">
        <v>0</v>
      </c>
    </row>
    <row r="23" spans="9:9" x14ac:dyDescent="0.3">
      <c r="I23" s="13" t="b">
        <v>0</v>
      </c>
    </row>
    <row r="24" spans="9:9" x14ac:dyDescent="0.3">
      <c r="I24" s="13" t="b">
        <v>0</v>
      </c>
    </row>
    <row r="25" spans="9:9" x14ac:dyDescent="0.3">
      <c r="I25" s="13" t="b">
        <v>0</v>
      </c>
    </row>
    <row r="26" spans="9:9" x14ac:dyDescent="0.3">
      <c r="I26" s="13" t="b">
        <v>0</v>
      </c>
    </row>
    <row r="27" spans="9:9" x14ac:dyDescent="0.3">
      <c r="I27" s="13" t="b">
        <v>0</v>
      </c>
    </row>
    <row r="28" spans="9:9" x14ac:dyDescent="0.3">
      <c r="I28" s="13" t="b">
        <v>0</v>
      </c>
    </row>
    <row r="29" spans="9:9" x14ac:dyDescent="0.3">
      <c r="I29" s="13" t="b">
        <v>0</v>
      </c>
    </row>
    <row r="30" spans="9:9" x14ac:dyDescent="0.3">
      <c r="I30" s="13" t="b">
        <v>0</v>
      </c>
    </row>
    <row r="31" spans="9:9" x14ac:dyDescent="0.3">
      <c r="I31" s="13" t="b">
        <v>0</v>
      </c>
    </row>
    <row r="32" spans="9:9" x14ac:dyDescent="0.3">
      <c r="I32" s="13" t="b">
        <v>0</v>
      </c>
    </row>
    <row r="33" spans="9:9" x14ac:dyDescent="0.3">
      <c r="I33" s="13" t="b">
        <v>0</v>
      </c>
    </row>
    <row r="34" spans="9:9" x14ac:dyDescent="0.3">
      <c r="I34" s="13" t="b">
        <v>0</v>
      </c>
    </row>
    <row r="35" spans="9:9" x14ac:dyDescent="0.3">
      <c r="I35" s="13" t="b">
        <v>0</v>
      </c>
    </row>
    <row r="36" spans="9:9" x14ac:dyDescent="0.3">
      <c r="I36" s="13" t="b">
        <v>0</v>
      </c>
    </row>
    <row r="37" spans="9:9" x14ac:dyDescent="0.3">
      <c r="I37" s="13" t="b">
        <v>0</v>
      </c>
    </row>
    <row r="38" spans="9:9" x14ac:dyDescent="0.3">
      <c r="I38" s="13" t="b">
        <v>0</v>
      </c>
    </row>
    <row r="39" spans="9:9" x14ac:dyDescent="0.3">
      <c r="I39" s="13" t="b">
        <v>0</v>
      </c>
    </row>
    <row r="40" spans="9:9" x14ac:dyDescent="0.3">
      <c r="I40" s="13" t="b">
        <v>0</v>
      </c>
    </row>
    <row r="41" spans="9:9" x14ac:dyDescent="0.3">
      <c r="I41" s="13" t="b">
        <v>0</v>
      </c>
    </row>
    <row r="42" spans="9:9" x14ac:dyDescent="0.3">
      <c r="I42" s="13" t="b">
        <v>0</v>
      </c>
    </row>
    <row r="43" spans="9:9" x14ac:dyDescent="0.3">
      <c r="I43" s="13" t="b">
        <v>0</v>
      </c>
    </row>
    <row r="44" spans="9:9" x14ac:dyDescent="0.3">
      <c r="I44" s="13" t="b">
        <v>0</v>
      </c>
    </row>
    <row r="45" spans="9:9" x14ac:dyDescent="0.3">
      <c r="I45" s="13" t="b">
        <v>0</v>
      </c>
    </row>
    <row r="46" spans="9:9" x14ac:dyDescent="0.3">
      <c r="I46" s="13" t="b">
        <v>0</v>
      </c>
    </row>
    <row r="47" spans="9:9" x14ac:dyDescent="0.3">
      <c r="I47" s="13" t="b">
        <v>0</v>
      </c>
    </row>
    <row r="48" spans="9:9" x14ac:dyDescent="0.3">
      <c r="I48" s="13" t="b">
        <v>0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Text><![CDATA[
Base_Speed__km_h = B!$J$15:$J$20;
]]></Text>
</file>

<file path=customXml/item2.xml><?xml version="1.0" encoding="utf-8"?>
<Text><![CDATA[
PackWeight = LAMBDA(TerrainArray, LET(
   \\LambdaName, "PackWeight",
   _SpeedsTerr, Speeds[Terrain],
   _SpeedsSpeed, Speeds[Speed],
   _Terrain, TRIM(CHOOSECOLS(TerrainArray, 1)),
   _Cells, CHOOSECOLS(TerrainArray, 2),
   _Distance, _Cells / 2,
   _TerrSpeed, MAP(_Terrain, LAMBDA(name, XLOOKUP(name, _SpeedsTerr, _SpeedsSpeed, , 0))),
   _TimeAtBaseSpeed, _Distance / _TerrSpeed,
   _PackSumsTable, CumPack,
   _TotalBaseTime, SUM(_TimeAtBaseSpeed),
   _Result, VLOOKUP(_TotalBaseTime, _PackSumsTable, 2),
   _Result
));
]]></Text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2026-07-21T14:46:30.0644691+00:00</LastUpdated>
    <CustomXmlPartGuid>{CA90037D-9D39-411D-8A04-DDCCC5384101}</CustomXmlPartGuid>
  </CustomXmlPartIndex>
  <CustomXmlPartIndex>
    <CollectionName>HotkeyCommands</CollectionName>
    <ItemName>AddressLookup.lambda</ItemName>
    <ItemDescription/>
    <ItemType>Text</ItemType>
    <ItemSubtype/>
    <LastUpdated>2026-07-21T14:46:30.0654698+00:00</LastUpdated>
    <CustomXmlPartGuid>{FA6B7D71-599E-49D9-BA5B-DE8C2D23E05A}</CustomXmlPartGuid>
  </CustomXmlPartIndex>
  <CustomXmlPartIndex>
    <CollectionName>HotkeyCommands</CollectionName>
    <ItemName>ALOOKUP.lambda</ItemName>
    <ItemDescription/>
    <ItemType>Text</ItemType>
    <ItemSubtype/>
    <LastUpdated>2026-07-21T14:46:30.0664707+00:00</LastUpdated>
    <CustomXmlPartGuid>{7C962461-277B-48EB-B592-26B6EE300D54}</CustomXmlPartGuid>
  </CustomXmlPartIndex>
  <CustomXmlPartIndex>
    <CollectionName>HotkeyCommands</CollectionName>
    <ItemName>ArrayDistances.lambda</ItemName>
    <ItemDescription/>
    <ItemType>Text</ItemType>
    <ItemSubtype/>
    <LastUpdated>2026-07-21T14:46:30.0674716+00:00</LastUpdated>
    <CustomXmlPartGuid>{E5A6A93B-9BA1-462B-B1BD-F985268CC64E}</CustomXmlPartGuid>
  </CustomXmlPartIndex>
  <CustomXmlPartIndex>
    <CollectionName>HotkeyCommands</CollectionName>
    <ItemName>ARROWSHIFT.lambda</ItemName>
    <ItemDescription/>
    <ItemType>Text</ItemType>
    <ItemSubtype/>
    <LastUpdated>2026-07-21T14:46:30.0674716+00:00</LastUpdated>
    <CustomXmlPartGuid>{63046E62-7465-4FA6-84EB-A96CC366A536}</CustomXmlPartGuid>
  </CustomXmlPartIndex>
  <CustomXmlPartIndex>
    <CollectionName>HotkeyCommands</CollectionName>
    <ItemName>Base_Speed__km_h.name</ItemName>
    <ItemDescription/>
    <ItemType>Text</ItemType>
    <ItemSubtype/>
    <LastUpdated>2026-07-21T14:46:30.0684724+00:00</LastUpdated>
    <CustomXmlPartGuid>{712A136C-0F6E-44BA-9EBB-C6ACC1A3CE79}</CustomXmlPartGuid>
  </CustomXmlPartIndex>
  <CustomXmlPartIndex>
    <CollectionName>HotkeyCommands</CollectionName>
    <ItemName>CountErrors.lambda</ItemName>
    <ItemDescription/>
    <ItemType>Text</ItemType>
    <ItemSubtype/>
    <LastUpdated>2026-07-21T14:46:30.0684724+00:00</LastUpdated>
    <CustomXmlPartGuid>{E161B35A-EFBD-4C81-8036-20383E520AD4}</CustomXmlPartGuid>
  </CustomXmlPartIndex>
  <CustomXmlPartIndex>
    <CollectionName>HotkeyCommands</CollectionName>
    <ItemName>EZINDARR_byLiannaGerrish.lambda</ItemName>
    <ItemDescription/>
    <ItemType>Text</ItemType>
    <ItemSubtype/>
    <LastUpdated>2026-07-21T14:46:30.0697434+00:00</LastUpdated>
    <CustomXmlPartGuid>{4F5AAD61-3315-4563-AC96-D310DE4BC0DB}</CustomXmlPartGuid>
  </CustomXmlPartIndex>
  <CustomXmlPartIndex>
    <CollectionName>HotkeyCommands</CollectionName>
    <ItemName>EZINDIRECT_byLiannaGerrish.lambda</ItemName>
    <ItemDescription/>
    <ItemType>Text</ItemType>
    <ItemSubtype/>
    <LastUpdated>2026-07-21T14:46:30.0707440+00:00</LastUpdated>
    <CustomXmlPartGuid>{C99F39D3-0771-4976-A66D-1999EC0D11CA}</CustomXmlPartGuid>
  </CustomXmlPartIndex>
  <CustomXmlPartIndex>
    <CollectionName>HotkeyCommands</CollectionName>
    <ItemName>GetAddress.lambda</ItemName>
    <ItemDescription/>
    <ItemType>Text</ItemType>
    <ItemSubtype/>
    <LastUpdated>2026-07-21T14:46:30.0717449+00:00</LastUpdated>
    <CustomXmlPartGuid>{E8C35352-5C41-43E6-9496-3E5DF35F1E5E}</CustomXmlPartGuid>
  </CustomXmlPartIndex>
  <CustomXmlPartIndex>
    <CollectionName>HotkeyCommands</CollectionName>
    <ItemName>IsInList.lambda</ItemName>
    <ItemDescription/>
    <ItemType>Text</ItemType>
    <ItemSubtype/>
    <LastUpdated>2026-07-21T14:46:30.0727458+00:00</LastUpdated>
    <CustomXmlPartGuid>{69A82E2E-EA53-490B-95A8-14D94A96B108}</CustomXmlPartGuid>
  </CustomXmlPartIndex>
  <CustomXmlPartIndex>
    <CollectionName>HotkeyCommands</CollectionName>
    <ItemName>Movement.lambda</ItemName>
    <ItemDescription/>
    <ItemType>Text</ItemType>
    <ItemSubtype/>
    <LastUpdated>2026-07-21T14:46:30.0737467+00:00</LastUpdated>
    <CustomXmlPartGuid>{6B7260D9-664C-4B6F-9F89-C937AE34FD1D}</CustomXmlPartGuid>
  </CustomXmlPartIndex>
  <CustomXmlPartIndex>
    <CollectionName>HotkeyCommands</CollectionName>
    <ItemName>NotInList.lambda</ItemName>
    <ItemDescription/>
    <ItemType>Text</ItemType>
    <ItemSubtype/>
    <LastUpdated>2026-07-21T14:46:30.0747476+00:00</LastUpdated>
    <CustomXmlPartGuid>{7865EF58-A164-4685-9607-5E9C1118175A}</CustomXmlPartGuid>
  </CustomXmlPartIndex>
  <CustomXmlPartIndex>
    <CollectionName>HotkeyCommands</CollectionName>
    <ItemName>PackWeight.lambda</ItemName>
    <ItemDescription/>
    <ItemType>Text</ItemType>
    <ItemSubtype/>
    <LastUpdated>2026-07-21T14:46:30.0757486+00:00</LastUpdated>
    <CustomXmlPartGuid>{AD4EF220-88F0-4D9A-86B5-E00CF2064A99}</CustomXmlPartGuid>
  </CustomXmlPartIndex>
  <CustomXmlPartIndex>
    <CollectionName>HotkeyCommands</CollectionName>
    <ItemName>PackWeightMult.lambda</ItemName>
    <ItemDescription/>
    <ItemType>Text</ItemType>
    <ItemSubtype/>
    <LastUpdated>2026-07-21T14:46:30.0767494+00:00</LastUpdated>
    <CustomXmlPartGuid>{8AD7A636-A50A-4B7D-91E1-38C118ADA1B4}</CustomXmlPartGuid>
  </CustomXmlPartIndex>
  <CustomXmlPartIndex>
    <CollectionName>HotkeyCommands</CollectionName>
    <ItemName>TerrainBaseSpeed.lambda</ItemName>
    <ItemDescription/>
    <ItemType>Text</ItemType>
    <ItemSubtype/>
    <LastUpdated>2026-07-21T14:46:30.0767494+00:00</LastUpdated>
    <CustomXmlPartGuid>{B8746D50-052C-4911-8DCC-4C7A71BF2EFB}</CustomXmlPartGuid>
  </CustomXmlPartIndex>
  <CustomXmlPartIndex>
    <CollectionName>HotkeyCommands</CollectionName>
    <ItemName>TerrMap.name</ItemName>
    <ItemDescription/>
    <ItemType>Text</ItemType>
    <ItemSubtype/>
    <LastUpdated>2026-07-21T14:46:30.0782520+00:00</LastUpdated>
    <CustomXmlPartGuid>{E665CBBD-B895-4EDE-8B14-9AAE47638AFF}</CustomXmlPartGuid>
  </CustomXmlPartIndex>
  <CustomXmlPartIndex>
    <CollectionName>HotkeyCommands</CollectionName>
    <ItemName>TopoMap.name</ItemName>
    <ItemDescription/>
    <ItemType>Text</ItemType>
    <ItemSubtype/>
    <LastUpdated>2026-07-21T14:46:30.0792644+00:00</LastUpdated>
    <CustomXmlPartGuid>{B4F1EF01-DE87-477C-86D3-E025941BB85B}</CustomXmlPartGuid>
  </CustomXmlPartIndex>
</writeIndexDataTable>
</file>

<file path=customXml/item4.xml><?xml version="1.0" encoding="utf-8"?>
<JSON><![CDATA[
{
  "Commands": [
    {
      "Name": "A - Calculations for Answer",
      "Description": "A - calculations for answer.",
      "Type": "ExcelFormulaCommand",
      "Formula": "=IF([[ActiveCell.Offset(0,-1)]]<[[ActiveCell.Offset(0,-5)]],[[ActiveCell.Offset(0,-2)]],[[ActiveCell.Offset(0,-6)]])",
      "Tags": [
        "Case-Specific"
      ]
    },
    {
      "Name": "A - Get Range Name",
      "Description": "A - get range name.",
      "Type": "ExcelFormulaCommand",
      "Formula": "=\"Shape\"&TAKE(TAKE([[ActiveCell::Formula]],,-3),,1)",
      "Tags": [
        "Case-Specific"
      ]
    },
    {
      "Name": "A - Link to range Bingo1",
      "Description": "A - link to range bingo1.",
      "Type": "ExcelFormulaCommand",
      "Formula": "=Bingo1",
      "Tags": [
        "Case-Specific"
      ]
    },
    {
      "Name": "A - Link to range Bingo2",
      "Description": "A - link to range bingo2.",
      "Type": "ExcelFormulaCommand",
      "Formula": "=Bingo2",
      "Tags": [
        "Case-Specific"
      ]
    },
    {
      "Name": "A - Link to range Game",
      "Description": "A - link to range game.",
      "Type": "ExcelFormulaCommand",
      "Formula": "=Game",
      "Tags": [
        "Case-Specific"
      ]
    },
    {
      "Name": "A - Name Ranges: American Bingo",
      "Description": "Name ranges for case American Bingo!",
      "Type": "VBAMacroCommand",
      "LaunchCodes": [
        "NRA"
      ],
      "MacroExpression": "modz_AmericanBingo.NameRanges_AmericanBingo()",
      "Tags": [
        "Name"
      ]
    },
    {
      "Name": "Add Array to Array 2 Cells Above",
      "Description": "Add array to array 2 cells up",
      "Type": "ExcelFormulaCommand",
      "LaunchCodes": [
        "AA2U"
      ],
      "Formula": "=[[ActiveCell::Formula]]+[[ActiveCell.Offset(-2,0).Cells(1,1).SpillingToRange]]",
      "Tags": [
        "Formula"
      ]
    },
    {
      "Name": "Add Link To Right",
      "Description": "Adds formula to right referencing the range of active cell.",
      "Type": "ExcelFormulaCommand",
      "LaunchCodes": [
        "cr"
      ],
      "Formula": "=[[Selection]]",
      "DestinationRangeAddress": "[[ActiveCell.Columns(1).AdjacentBlank.Cells(1,1)]]",
      "Tags": [
        "Paste"
      ]
    },
    {
      "Name": "Address Lookup from Parameter Range Name",
      "Description": "Looks up an address from a range with columns in row 1 and rows in column 1",
      "Type": "ExcelFormulaCommand",
      "LaunchCodes": [
        "al"
      ],
      "Formula": "=AddressLookup([[ActiveCell::Formula]],{{Lookup Range}})",
      "Tags": [
        "Lookup"
      ],
      "FormulaDependencies": [
        "AddressLookup.lambda"
      ]
    },
    {
      "Name": "Address Lookup on Value Above",
      "Description": "Apply ALOOKUP lambda function to active cell.",
      "Type": "ExcelFormulaCommand",
      "Note": "Returns the address for all cells in the referenced range that have the value above the parent cell\r\n",
      "LaunchCodes": [
        "AL"
      ],
      "Formula": "=ALOOKUP([[ActiveCell.Offset(-1,0)]],[[ActiveCell::Formula]])",
      "Tags": [
        "Lookup"
      ],
      "FormulaDependencies": [
        "ALOOKUP.lambda",
        "GetAddress.lambda"
      ]
    },
    {
      "Name": "Address Lookup on Value to Left",
      "Description": "Apply ALOOKUP lambda function to active cell.",
      "Type": "ExcelFormulaCommand",
      "Note": "Returns the address for all cells in the referenced range that have the value to the left of the parent cell\r\n",
      "LaunchCodes": [
        "AL"
      ],
      "Formula": "=ALOOKUP([[ActiveCell.Offset(0,-1)]],[[ActiveCell::Formula]])",
      "Tags": [
        "Lookup"
      ],
      "FormulaDependencies": [
        "ALOOKUP.lambda",
        "GetAddress.lambda"
      ]
    },
    {
      "Name": "Apply EZINDIRECT to array in cell",
      "Description": "Apply EZINDARR_byLiannaGerrish lambda function to active formula.",
      "Type": "ExcelFormulaCommand",
      "Formula": "=EZINDARR_byLiannaGerrish([[ActiveCell::Formula]])",
      "FormulaDependencies": [
        "EZINDARR_byLiannaGerrish.lambda"
      ]
    },
    {
      "Name": "B - Add DOWN multiplier",
      "Description": "B - add down multiplier.",
      "Type": "ExcelFormulaCommand",
      "Formula": "=HSTACK(IF([[ActiveCell::Formula]]=\"DOWN\",1.5,1),1)",
      "Tags": [
        "Case-Specific"
      ]
    },
    {
      "Name": "B - Add UP movements",
      "Description": "B - add up movements.",
      "Type": "ExcelFormulaCommand",
      "Formula": "=HSTACK(IF([[ActiveCell::Formula]]=\"UP\",0.25,0),0)",
      "Tags": [
        "Case-Specific"
      ]
    },
    {
      "Name": "B - Address Lookup from SpeedMap",
      "Description": "Looks up an address from a range with columns in row 1 and rows in column 1",
      "Type": "ExcelFormulaCommand",
      "Formula": "=AddressLookup([[ActiveCell::Formula]],SpeedMapWHdr)",
      "Tags": [
        "Case-Specific"
      ],
      "FormulaDependencies": [
        "AddressLookup.lambda"
      ]
    },
    {
      "Name": "B - Address Lookup from TerrainMap",
      "Description": "Looks up an address from a range with columns in row 1 and rows in column 1",
      "Type": "ExcelFormulaCommand",
      "Formula": "=AddressLookup([[ActiveCell::Formula]],TerrMapWHdr)",
      "Tags": [
        "Case-Specific"
      ],
      "FormulaDependencies": [
        "AddressLookup.lambda"
      ]
    },
    {
      "Name": "B - Address Lookup from TopoMap",
      "Description": "Looks up an address from a range with columns in row 1 and rows in column 1",
      "Type": "ExcelFormulaCommand",
      "Formula": "=AddressLookup([[ActiveCell::Formula]],TopoMapWHdr)",
      "Tags": [
        "Case-Specific"
      ],
      "FormulaDependencies": [
        "AddressLookup.lambda"
      ]
    },
    {
      "Name": "B - Apply EZINDIRECT to array in cell from TerrainMap sheet",
      "Description": "Apply EZINDARR_byLiannaGerrish lambda function to active formula from TerrainMap sheet",
      "Type": "ExcelFormulaCommand",
      "Formula": "=EZINDARR_byLiannaGerrish([[EachCell::Formula]],\"TerrainMap\")",
      "FormulaDependencies": [
        "EZINDARR_byLiannaGerrish.lambda"
      ]
    },
    {
      "Name": "B - Apply EZINDIRECT to array in cell from TopographicMap sheet",
      "Description": "Apply EZINDARR_byLiannaGerrish lambda function to active formula from TopographicMap sheet",
      "Type": "ExcelFormulaCommand",
      "Formula": "=EZINDARR_byLiannaGerrish([[EachCell::Formula]],\"TopographicMap\")",
      "FormulaDependencies": [
        "EZINDARR_byLiannaGerrish.lambda"
      ]
    },
    {
      "Name": "B - Apply INDIRECT with TerrainMap Sheet",
      "Description": "B - apply indirect with terrainmap sheet.",
      "Type": "ExcelFormulaCommand",
      "Formula": "=INDIRECT(\"TerrainMap![[ActiveCell::Value]]\"\r\n)",
      "Tags": [
        "WrapWith"
      ]
    },
    {
      "Name": "B - Apply PackWeightMult Lambda",
      "Description": "Apply PackWeightMult lambda function to active cell.",
      "Type": "ExcelFormulaCommand",
      "Formula": "=PackWeightMult(PackWeight([[EachCell::Formula]]))",
      "Tags": [
        "Case-Specific"
      ],
      "FormulaDependencies": [
        "PackWeightMult.lambda",
        "PackWeight.lambda"
      ],
      "UpdateFormulaDependencies": true
    },
    {
      "Name": "B - B5 - Go To 5",
      "Description": "Goes to first value that matches the number 5, if not found goes to cell below last cell",
      "Type": "VBAMacroCommand",
      "Note": "Goes to first value that matches the clipboard, if not found goes to cell below last cell",
      "LaunchCodes": [
        "GT"
      ],
      "MacroExpression": "modNavigation.GoToValue(\"5\")",
      "Tags": [
        "Navigation"
      ]
    },
    {
      "Name": "B - B5 - Paste Get Items Not in Terrain List",
      "Description": "Apply NotInList lambda function to active cell, using Speed[Terrain] as array to check against.",
      "Type": "ExcelFormulaCommand",
      "Note": "Apply NotInList lambda function to active cell, using Terrain list as array to check against.",
      "LaunchCodes": [
        "PGNIL"
      ],
      "Formula": "=NotInList(Speeds[Terrain],[[ActiveCell::Formula]])",
      "Tags": [
        "Formula"
      ],
      "FormulaDependencies": [
        "NotInList.lambda",
        "IsInList.lambda"
      ]
    },
    {
      "Name": "B - Bonus 1 calc",
      "Description": "B - bonus 1 calc.",
      "Type": "ExcelFormulaCommand",
      "Formula": "=(TerrMap=\"Snow\")*(TopoMap=\"800m+\")",
      "Tags": [
        "Case-Specific"
      ]
    },
    {
      "Name": "B - Bonus 4 - set value to Rock",
      "Description": "B - bonus 4 - set value to rock.",
      "Type": "ExcelFormulaCommand",
      "Formula": "=\"Rock\""
    },
    {
      "Name": "B - Bonus 5 count of 5 Check",
      "Description": "B - bonus 5 count of 5 check.",
      "Type": "ExcelFormulaCommand",
      "Formula": "=([[ActiveCell::Formula]]=5)",
      "Tags": [
        "Case-Specific"
      ]
    },
    {
      "Name": "B - Calculate Total Time with Pack Adjustment",
      "Description": "B - calculate total time with pack adjustment.",
      "Type": "ExcelFormulaCommand",
      "Formula": "=SUM(ArrayDistances([[EachCell::Formula]])/(TerrainBaseSpeed([[EachCell::Formula]])*PackWeightMult(PackWeight([[EachCell::Formula]]))))",
      "Tags": [
        "Case-Specific"
      ],
      "FormulaDependencies": [
        "ArrayDistances.lambda",
        "TerrainBaseSpeed.lambda",
        "PackWeightMult.lambda",
        "PackWeight.lambda"
      ]
    },
    {
      "Name": "B - Link to Level 3 Pack Weights",
      "Description": "B - link to level 3 pack weights.",
      "Type": "ExcelFormulaCommand",
      "Formula": "=DROP(M151#,2)",
      "Tags": [
        "Case-Specific"
      ]
    },
    {
      "Name": "B - Link to SpeedMap",
      "Description": "B - Link to SpeedMap",
      "Type": "ExcelFormulaCommand",
      "Formula": "=SpeedMap",
      "Tags": [
        "Case-Specific"
      ]
    },
    {
      "Name": "B - Link to TerrMap",
      "Description": "B - Link to TerrMap",
      "Type": "ExcelFormulaCommand",
      "Formula": "=TerrMap",
      "Tags": [
        "Case-Specific"
      ]
    },
    {
      "Name": "B - Lookup Column 2 of PackSums",
      "Description": "Lookup column 2 from named range PackSums.",
      "Type": "ExcelFormulaCommand",
      "Formula": "=VLOOKUP([[ActiveCell.SpillParent.SpillingToRange]],[[[PackSums].CurrentRegion]],2)",
      "DestinationRangeAddress": "[[ActiveCell.Offset(0,1).Cells(1,1).AdjacentBlank.Cells(1,1)]]",
      "Tags": [
        "Lookup"
      ]
    },
    {
      "Name": "B - Lookup terrain speed",
      "Description": "B - lookup terrain speed.",
      "Type": "ExcelFormulaCommand",
      "Formula": "=XLOOKUP([[ActiveCell::Formula]],Speeds[Terrain],Speeds[Speed])",
      "Tags": [
        "Case-Specific"
      ]
    },
    {
      "Name": "B - Name Ranges: Bushland Adventures",
      "Description": "Name ranges for case Bushland Adventures.",
      "Type": "VBAMacroCommand",
      "Note": "This is useful for this case only",
      "LaunchCodes": [
        "NRB"
      ],
      "MacroExpression": "modz_BushlandAdventures.NameRanges_BushlandAdventures()",
      "Tags": [
        "Name"
      ]
    },
    {
      "Name": "B - Name Ranges: Bushland Adventures Cum Pack",
      "Description": "Name ranges bushland adventures cum pack.",
      "Type": "VBAMacroCommand",
      "LaunchCodes": [
        "NRB2"
      ],
      "MacroExpression": "modz_BushlandAdventures.NameRanges_BushlandAdventures_CumPack()",
      "Tags": [
        "Name"
      ]
    },
    {
      "Name": "B - Remove Hours",
      "Description": "Select last input column and remove \" hours\"",
      "Type": "VBAMacroCommand",
      "MacroExpression": "modNavigation.SelectInputAndRemove(\" hours\")",
      "Tags": [
        "Replace"
      ]
    },
    {
      "Name": "B - Remove KM",
      "Description": "Select input 1 to the left of last input and remove \"km\".",
      "Type": "VBAMacroCommand",
      "MacroExpression": "modNavigation.SelectInputPre1AndRemove(\"km\")",
      "Tags": [
        "Replace"
      ]
    },
    {
      "Name": "B - Scan above array with Arrow Shift",
      "Description": "B - scan above array with arrow shift from current cell value in direction of copied cell.",
      "Type": "ExcelFormulaCommand",
      "Formula": "=HSTACK([[ActiveCell::Formula]],SCAN([[ActiveCell::Formula]],[[ActiveCell.Offset(-1,0).SpillParent.SpillingToRange]],LAMBDA(a,v,ARROWSHIFT(a,[[Clipboard]]))))",
      "Tags": [
        "Case-Specific"
      ],
      "FormulaDependencies": [
        "ARROWSHIFT.lambda"
      ]
    },
    {
      "Name": "B - Speed Multiplier",
      "Description": "B - speed multiplier.",
      "Type": "ExcelFormulaCommand",
      "Formula": "=(1-[[ActiveCell::Formula]]/10000)"
    },
    {
      "Name": "Copy Paste Values",
      "Description": "Copy paste values.",
      "Type": "VBAMacroCommand",
      "LaunchCodes": [
        "v"
      ],
      "MacroExpression": "modUtilities.CopyPasteValues()"
    },
    {
      "Name": "Copy To Clipboard",
      "Description": "Copy to clipboard.",
      "Type": "VBAMacroCommand",
      "LaunchCodes": [
        "C"
      ],
      "MacroExpression": "modUtilities.CopyToClipboard()",
      "Tags": [
        "Paste"
      ]
    },
    {
      "Name": "Count Columns Of ArrayS",
      "Description": "Wraps active array formula with COLUMNS function.",
      "Type": "ExcelFormulaCommand",
      "UserContextFilter": "ExcelActiveCellIsSpillParent",
      "LaunchCodes": [
        "cc"
      ],
      "Formula": "=COLUMNS([[EachCell::Formula]])",
      "ScrollToDestination": false,
      "Tags": [
        "Array"
      ]
    },
    {
      "Name": "Count Errors",
      "Description": "Counts Errors in an array / range",
      "Type": "ExcelFormulaCommand",
      "Note": "Counts errors in the active range",
      "LaunchCodes": [
        "CE"
      ],
      "Formula": "=CountErrors([[ActiveCell::Formula]])",
      "Tags": [
        "Formula"
      ],
      "FormulaDependencies": [
        "CountErrors.lambda"
      ]
    },
    {
      "Name": "Count Unique Values In ArrayS",
      "Description": "Wrap with CountEachUniqueValue Lambda function.",
      "Type": "ExcelFormulaCommand",
      "UserContextFilter": "ExcelActiveCellIsSpillParent;ExcelSelectionIsMultipleCells",
      "Note": "Great for using in competitions to answer questions like \"which brand is mentioned the most in the data?\"",
      "Documentation": [
        "Count Unique Values In Array.md"
      ],
      "LaunchCodes": [
        "cu"
      ],
      "Formula": "=CountEachUniqueValue([[EachCell::Formula]])",
      "ScrollToDestination": false,
      "Tags": [
        "WrapWith",
        "LAMBDA",
        "Vol1"
      ],
      "FormulaDependencies": [
        "CountEachUniqueValue.lambda"
      ],
      "UpdateFormulaDependencies": true
    },
    {
      "Name": "Create Calc Sheet",
      "Description": "Creates a blank sheet for calculations",
      "Type": "VBAMacroCommand",
      "LaunchCodes": [
        "ccs",
        "calc",
        "sht"
      ],
      "MacroExpression": "modMisc.CreateBlankSheet(\"Calcs\")",
      "Tags": [
        "Prep"
      ],
      "MacroWorkbookConnection": "ThisWorkbook"
    },
    {
      "Name": "Create Data Table from Array",
      "Description": "Create data table.",
      "Type": "VBAMacroCommand",
      "LaunchCodes": [
        "DTA"
      ],
      "MacroExpression": "modArrays.CreateDataTable()",
      "Tags": [
        "Prep"
      ]
    },
    {
      "Name": "Ctrl Right",
      "Description": "Ctrl right.",
      "Type": "ExcelSendKeysCommand",
      "Keystrokes": [
        "CTRL+RIGHTARROW"
      ],
      "Tags": [
        "Navigation"
      ]
    },
    {
      "Name": "Divide Array by Array to Left",
      "Description": "Divide Array by Array 1 Column to the Left",
      "Type": "ExcelFormulaCommand",
      "LaunchCodes": [
        "DAL"
      ],
      "Formula": "=[[ActiveCell.SpillParent.SpillingToRange::Formula]]/[[ActiveCell.Offset(0,-1).SpillingToRange]]",
      "Tags": [
        "Formula"
      ]
    },
    {
      "Name": "Divide by 2",
      "Description": "Divide by 2",
      "Type": "ExcelFormulaCommand",
      "LaunchCodes": [
        "d2"
      ],
      "Formula": "=([[ActiveCell::Formula]])/2",
      "Tags": [
        "Convert"
      ]
    },
    {
      "Name": "Duplicate Array Formula 2 To Right",
      "Description": "Adds array formula to right referencing the spill range of active array, added with a gap of 1 column.",
      "Type": "ExcelFormulaCommand",
      "UserContextFilter": "ExcelActiveCellIsInSpillingToRange",
      "LaunchCodes": [
        "DF2"
      ],
      "Formula": "=[[ActiveCell.SpillParent::Formula]]",
      "DestinationRangeAddress": "[[ActiveCell.SpillParent.SpillingToRange.Columns(1).AdjacentBlank.Cells(1,1).Offset(0,1)]]",
      "Tags": [
        "Paste"
      ]
    },
    {
      "Name": "Duplicate Array Formula To Right",
      "Description": "Adds array formula to right referencing the spill range of active array.",
      "Type": "ExcelFormulaCommand",
      "UserContextFilter": "ExcelActiveCellIsInSpillingToRange",
      "LaunchCodes": [
        "df",
        "dfr"
      ],
      "Formula": "=[[ActiveCell.SpillParent::Formula]]",
      "DestinationRangeAddress": "[[ActiveCell.SpillParent.SpillingToRange.Columns(1).AdjacentBlank.Cells(1,1)]]",
      "Tags": [
        "Paste"
      ]
    },
    {
      "Name": "Duplicate ArrayS to Right",
      "Description": "Adds array formula to right referencing the spill range of active arrays.",
      "Type": "ExcelFormulaCommand",
      "ShortCutSendKeyString": "Ctrl + Shift + r",
      "UserContextFilter": "ExcelActiveCellIsInSpillingToRange",
      "LaunchCodes": [
        "da",
        "dar"
      ],
      "Formula": "=[[EachCell.SpillParent]]",
      "DestinationRangeAddress": "[[EachCell.SpillParent.SpillingToRange.Columns(1).AdjacentBlank.Cells(1,1)]]"
    },
    {
      "Name": "Duplicate Formula To Right",
      "Description": "Adds formula to right referencing the range of active formula.",
      "Type": "ExcelFormulaCommand",
      "UserContextFilter": "!ExcelActiveCellIsInSpillingToRange",
      "LaunchCodes": [
        "df",
        "dfr"
      ],
      "Formula": "=[[ActiveCell::Formula]]",
      "DestinationRangeAddress": "[[ActiveCell.Columns(1).AdjacentBlank.Cells(1,1)]]",
      "Tags": [
        "Paste"
      ]
    },
    {
      "Name": "Exclude Examples",
      "Description": "Exclude examples.",
      "Type": "VBAMacroCommand",
      "Note": "Removes the top 2 rows from the active selection to select questions only. \r\nAssumes there is an example row at the top and a blank row below that.",
      "LaunchCodes": [
        "XE"
      ],
      "MacroExpression": "modNavigation.ExcludeExamples()",
      "Tags": [
        "Navigation"
      ]
    },
    {
      "Name": "Get Address",
      "Description": "Apply GetAddress lambda function to active cell.",
      "Type": "ExcelFormulaCommand",
      "Note": "Gets the address of the range referenced\r\n",
      "LaunchCodes": [
        "ADD"
      ],
      "Formula": "=GetAddress([[ActiveCell::Formula]])",
      "Tags": [
        "Formula"
      ],
      "FormulaDependencies": [
        "GetAddress.lambda"
      ]
    },
    {
      "Name": "Get Array 2 Up",
      "Description": "Links to the array 2 rows up",
      "Type": "ExcelFormulaCommand",
      "LaunchCodes": [
        "A2U"
      ],
      "Formula": "=[[ActiveCell.Offset(-2,0).SpillParent.SpillingToRange]]",
      "Tags": [
        "Select"
      ]
    },
    {
      "Name": "Get Array 3 Up",
      "Description": "Links to the array 3 rows up",
      "Type": "ExcelFormulaCommand",
      "LaunchCodes": [
        "a3u"
      ],
      "Formula": "=[[ActiveCell.Offset(-3,0).SpillParent.SpillingToRange]]",
      "Tags": [
        "Select"
      ]
    },
    {
      "Name": "Get Array 4 Up",
      "Description": "Links to the array 4 rows up",
      "Type": "ExcelFormulaCommand",
      "LaunchCodes": [
        "a4u"
      ],
      "Formula": "=[[ActiveCell.Offset(-4,0).SpillParent.SpillingToRange]]",
      "Tags": [
        "Select"
      ]
    },
    {
      "Name": "Get LEFT character",
      "Description": "Get left character.",
      "Type": "ExcelFormulaCommand",
      "LaunchCodes": [
        "L"
      ],
      "Formula": "=LEFT([[ActiveCell::Formula]])",
      "Tags": [
        "Text_Editing"
      ]
    },
    {
      "Name": "Get Movement",
      "Description": "Apply Movement lambda function to active cell.",
      "Type": "ExcelFormulaCommand",
      "LaunchCodes": [
        "m"
      ],
      "Formula": "=Movement([[ActiveCell::Formula]])",
      "Tags": [
        "Formula"
      ],
      "FormulaDependencies": [
        "Movement.lambda"
      ]
    },
    {
      "Name": "Get Sequence By Columns",
      "Description": "Get sequence by columns.",
      "Type": "ExcelFormulaCommand",
      "LaunchCodes": [
        "SC"
      ],
      "Formula": "=SEQUENCE(,[[ActiveCell::Formula]])",
      "Tags": [
        "Formula"
      ]
    },
    {
      "Name": "Go To Bonus 1",
      "Description": "Go to bonus 1.",
      "Type": "VBAMacroCommand",
      "LaunchCodes": [
        "B1"
      ],
      "MacroExpression": "modNavigation.GoToBonus(1)",
      "Tags": [
        "Navigation"
      ]
    },
    {
      "Name": "Go To Bonus 2",
      "Description": "Go to bonus 2.",
      "Type": "VBAMacroCommand",
      "LaunchCodes": [
        "B2"
      ],
      "MacroExpression": "modNavigation.GoToBonus(2)",
      "Tags": [
        "Navigation"
      ]
    },
    {
      "Name": "Go To Bonus 3",
      "Description": "Go to bonus 3.",
      "Type": "VBAMacroCommand",
      "LaunchCodes": [
        "B3"
      ],
      "MacroExpression": "modNavigation.GoToBonus(3)",
      "Tags": [
        "Navigation"
      ]
    },
    {
      "Name": "Go To Bonus 4",
      "Description": "Go to bonus 4.",
      "Type": "VBAMacroCommand",
      "LaunchCodes": [
        "B4"
      ],
      "MacroExpression": "modNavigation.GoToBonus(4)",
      "Tags": [
        "Navigation"
      ]
    },
    {
      "Name": "Go To Bonus 5",
      "Description": "Go to bonus 5.",
      "Type": "VBAMacroCommand",
      "LaunchCodes": [
        "B5"
      ],
      "MacroExpression": "modNavigation.GoToBonus(5)",
      "Tags": [
        "Navigation"
      ]
    },
    {
      "Name": "Go To Bonuses",
      "Description": "Go to bonus questions",
      "Type": "VBAMacroCommand",
      "Note": "Navigate to Target Level",
      "LaunchCodes": [
        "B"
      ],
      "MacroExpression": "modNavigation.GoToLevel(0)",
      "Tags": [
        "Navigation"
      ]
    },
    {
      "Name": "Go to First Cell in Row",
      "Description": "Go to first cell in row / home",
      "Type": "ExcelSendKeysCommand",
      "Keystrokes": [
        "HOME"
      ],
      "Tags": [
        "Navigation"
      ]
    },
    {
      "Name": "Go To Level 1",
      "Description": "Go to level 1.",
      "Type": "VBAMacroCommand",
      "Note": "Navigate to Target Level",
      "LaunchCodes": [
        "L1"
      ],
      "MacroExpression": "modNavigation.GoToLevel(1)",
      "Tags": [
        "Navigation"
      ]
    },
    {
      "Name": "Go To Level 2",
      "Description": "Go to level 2",
      "Type": "VBAMacroCommand",
      "Note": "Navigate to Target Level",
      "LaunchCodes": [
        "L2"
      ],
      "MacroExpression": "modNavigation.GoToLevel(2)",
      "Tags": [
        "Navigation"
      ]
    },
    {
      "Name": "Go To Level 3",
      "Description": "Go to level 3",
      "Type": "VBAMacroCommand",
      "Note": "Navigate to Target Level",
      "LaunchCodes": [
        "L3"
      ],
      "MacroExpression": "modNavigation.GoToLevel(3)",
      "Tags": [
        "Navigation"
      ]
    },
    {
      "Name": "Go To Level 4",
      "Description": "Go to level 4",
      "Type": "VBAMacroCommand",
      "Note": "Navigate to Target Level",
      "LaunchCodes": [
        "L4"
      ],
      "MacroExpression": "modNavigation.GoToLevel(4)",
      "Tags": [
        "Navigation"
      ]
    },
    {
      "Name": "Go To Level 5",
      "Description": "Go to level 5",
      "Type": "VBAMacroCommand",
      "Note": "Navigate to Target Level",
      "LaunchCodes": [
        "L5"
      ],
      "MacroExpression": "modNavigation.GoToLevel(5)",
      "Tags": [
        "Navigation"
      ]
    },
    {
      "Name": "Go To Level 6",
      "Description": "Go to level 6",
      "Type": "VBAMacroCommand",
      "Note": "Navigate to Target Level",
      "LaunchCodes": [
        "L6"
      ],
      "MacroExpression": "modNavigation.GoToLevel(6)",
      "Tags": [
        "Navigation"
      ]
    },
    {
      "Name": "Go To Level 7",
      "Description": "Go to level 7",
      "Type": "VBAMacroCommand",
      "Note": "Navigate to Target Level",
      "LaunchCodes": [
        "L7"
      ],
      "MacroExpression": "modNavigation.GoToLevel(7)",
      "Tags": [
        "Navigation"
      ]
    },
    {
      "Name": "Go To Value in Clipboard",
      "Description": "Goes to first value that matches the clipboard, if not found goes to cell below last cell",
      "Type": "VBAMacroCommand",
      "Note": "Goes to first value that matches the clipboard, if not found goes to cell below last cell",
      "LaunchCodes": [
        "GT"
      ],
      "MacroExpression": "modNavigation.GoToValue([[Clipboard]])",
      "Tags": [
        "Navigation"
      ]
    },
    {
      "Name": "Indirect",
      "Description": "Indirect.",
      "Type": "ExcelFormulaCommand",
      "LaunchCodes": [
        "IND"
      ],
      "Formula": "=INDIRECT([[ActiveCell::Formula]])",
      "Tags": [
        "Formula"
      ]
    },
    {
      "Name": "Indirect By Cell of Array",
      "Description": "Applies an INDIRECT by MAP",
      "Type": "ExcelFormulaCommand",
      "LaunchCodes": [
        "ibc"
      ],
      "Formula": "=MAP([[ActiveCell::Formula]],lambda(a,INDIRECT(a)))",
      "Tags": [
        "WrapWith"
      ]
    },
    {
      "Name": "Indirect By Row",
      "Description": "Applies an INDIRECT by row",
      "Type": "ExcelFormulaCommand",
      "LaunchCodes": [
        "ibr"
      ],
      "Formula": "=BYROW([[ActiveCell::Formula]],INDIRECT)",
      "Tags": [
        "WrapWith"
      ]
    },
    {
      "Name": "Invert Array",
      "Description": "Inverts all values in array",
      "Type": "ExcelFormulaCommand",
      "LaunchCodes": [
        "INV"
      ],
      "Formula": "=1/([[ActiveCell::Formula]])",
      "Tags": [
        "Convert"
      ]
    },
    {
      "Name": "Link Answer Cell",
      "Description": "Link answer cell.",
      "Type": "VBAMacroCommand",
      "LaunchCodes": [
        "ANS"
      ],
      "MacroExpression": "modArrays.LinkAnswerCell()",
      "Tags": [
        "GoTo"
      ]
    },
    {
      "Name": "Lookup from Column 2",
      "Description": "Lookup from named range column 2.",
      "Type": "ExcelFormulaCommand",
      "LaunchCodes": [
        "lk2"
      ],
      "Formula": "=VLOOKUP([[ActiveCell.SpillParent.SpillingToRange]],[[[{{LookupRange}}].CurrentRegion]],2)",
      "DestinationRangeAddress": "[[ActiveCell.Offset(0,1).Cells(1,1).AdjacentBlank.Cells(1,1)]]",
      "Tags": [
        "Lookup"
      ]
    },
    {
      "Name": "Make Array 2 To Right",
      "Description": "Adds array formula 2 columns to the right referencing the active selection",
      "Type": "ExcelFormulaCommand",
      "UserContextFilter": "ExcelSelectionIsMultipleCells;ExcelSelectionIsSingleArea",
      "LaunchCodes": [
        "ma2r"
      ],
      "Formula": "=[[Selection]]",
      "DestinationRangeAddress": "[[ActiveCell.Offset(0,1).Cells(1,1).AdjacentBlank.Cells(1,1)]]",
      "Tags": [
        "Array"
      ]
    },
    {
      "Name": "Make Array 3 To Right",
      "Description": "Adds array formula 3 columns to the right referencing the active selection",
      "Type": "ExcelFormulaCommand",
      "UserContextFilter": "ExcelSelectionIsMultipleCells;ExcelSelectionIsSingleArea",
      "LaunchCodes": [
        "ma3r"
      ],
      "Formula": "=[[Selection]]",
      "DestinationRangeAddress": "[[ActiveCell.Offset(0,2).Cells(1,1).AdjacentBlank.Cells(1,1)]]",
      "Tags": [
        "Array"
      ]
    },
    {
      "Name": "Make Array To Right",
      "Description": "Adds array formula to right referencing the active selection",
      "Type": "ExcelFormulaCommand",
      "UserContextFilter": "ExcelSelectionIsMultipleCells;ExcelSelectionIsSingleArea",
      "LaunchCodes": [
        "mar"
      ],
      "Formula": "=[[Selection]]",
      "DestinationRangeAddress": "[[ActiveCell.Cells(1,1).AdjacentBlank.Cells(1,1)]]",
      "Tags": [
        "Array"
      ]
    },
    {
      "Name": "Move Down 1",
      "Description": "Move down 1 cell",
      "Type": "VBAMacroCommand",
      "Note": "Uses the Move function in VBA to move in specified direction",
      "MacroExpression": "modNavigation.Move(1)",
      "Tags": [
        "Navigation"
      ]
    },
    {
      "Name": "Move Down 2",
      "Description": "Move down 2 cells",
      "Type": "VBAMacroCommand",
      "Note": "Uses the Move function in VBA to move in specified direction",
      "MacroExpression": "modNavigation.Move(2)",
      "Tags": [
        "Navigation"
      ]
    },
    {
      "Name": "Move Down 3",
      "Description": "Move down 3 cells",
      "Type": "VBAMacroCommand",
      "Note": "Uses the Move function in VBA to move in specified direction",
      "MacroExpression": "modNavigation.Move(3)",
      "Tags": [
        "Navigation"
      ]
    },
    {
      "Name": "Move Down 4",
      "Description": "Move down 4 cells",
      "Type": "VBAMacroCommand",
      "Note": "Uses the Move function in VBA to move in specified direction",
      "MacroExpression": "modNavigation.Move(4)",
      "Tags": [
        "Navigation"
      ]
    },
    {
      "Name": "Move Down Number in Clipboard",
      "Description": "Move down the number of cells in the clipboard",
      "Type": "VBAMacroCommand",
      "UserContextFilter": "ClipboardHasAnyData",
      "Note": "Uses the Move function in VBA to move in specified direction based on the number in the Clipboard",
      "LaunchCodes": [
        "DC"
      ],
      "MacroExpression": "modNavigation.Move([[Clipboard]])",
      "Tags": [
        "Navigation"
      ]
    },
    {
      "Name": "Move Left 1",
      "Description": "Move left 1 cell",
      "Type": "VBAMacroCommand",
      "Note": "Uses the Move function in VBA to move in specified direction",
      "MacroExpression": "modNavigation.Move(,-1)",
      "Tags": [
        "Navigation"
      ]
    },
    {
      "Name": "Move Left 2",
      "Description": "Move left 2 cells",
      "Type": "VBAMacroCommand",
      "Note": "Uses the Move function in VBA to move in specified direction",
      "MacroExpression": "modNavigation.Move(,-2)",
      "Tags": [
        "Navigation"
      ]
    },
    {
      "Name": "Move Left 3",
      "Description": "Move left 3 cells",
      "Type": "VBAMacroCommand",
      "Note": "Uses the Move function in VBA to move in specified direction",
      "MacroExpression": "modNavigation.Move(,-3)",
      "Tags": [
        "Navigation"
      ]
    },
    {
      "Name": "Move Left 4",
      "Description": "Move left 4 cells",
      "Type": "VBAMacroCommand",
      "Note": "Uses the Move function in VBA to move in specified direction",
      "MacroExpression": "modNavigation.Move(,-4)",
      "Tags": [
        "Navigation"
      ]
    },
    {
      "Name": "Move Right 1",
      "Description": "Move right 1 cell",
      "Type": "VBAMacroCommand",
      "Note": "Uses the Move function in VBA to move in specified direction",
      "MacroExpression": "modNavigation.Move(,1)",
      "Tags": [
        "Navigation"
      ]
    },
    {
      "Name": "Move Right 11",
      "Description": "Move right 11 cells",
      "Type": "VBAMacroCommand",
      "Note": "Uses the Move function in VBA to move in specified direction",
      "MacroExpression": "modNavigation.Move(0,11)",
      "Tags": [
        "Navigation"
      ]
    },
    {
      "Name": "Move Right 2",
      "Description": "Move right 2 cells",
      "Type": "VBAMacroCommand",
      "Note": "Uses the Move function in VBA to move in specified direction",
      "MacroExpression": "modNavigation.Move(,2)",
      "Tags": [
        "Navigation"
      ]
    },
    {
      "Name": "Move Right 3",
      "Description": "Move right 3 cells",
      "Type": "VBAMacroCommand",
      "Note": "Uses the Move function in VBA to move in specified direction",
      "MacroExpression": "modNavigation.Move(,3)",
      "Tags": [
        "Navigation"
      ]
    },
    {
      "Name": "Move Right 4",
      "Description": "Move right 4 cells",
      "Type": "VBAMacroCommand",
      "Note": "Uses the Move function in VBA to move in specified direction",
      "MacroExpression": "modNavigation.Move(0,4)",
      "Tags": [
        "Navigation"
      ]
    },
    {
      "Name": "Move Right 5",
      "Description": "Move right 5 cells",
      "Type": "VBAMacroCommand",
      "Note": "Uses the Move function in VBA to move in specified direction",
      "MacroExpression": "modNavigation.Move(0,5)",
      "Tags": [
        "Navigation"
      ]
    },
    {
      "Name": "Move Right 6",
      "Description": "Move right 6 cells",
      "Type": "VBAMacroCommand",
      "Note": "Uses the Move function in VBA to move in specified direction",
      "MacroExpression": "modNavigation.Move(0,6)",
      "Tags": [
        "Navigation"
      ]
    },
    {
      "Name": "Move Up 1",
      "Description": "Move up 1 cell",
      "Type": "VBAMacroCommand",
      "Note": "Uses the Move function in VBA to move in specified direction",
      "MacroExpression": "modNavigation.Move(-1)",
      "Tags": [
        "Navigation"
      ]
    },
    {
      "Name": "Move Up 2",
      "Description": "Move up 2 cells",
      "Type": "VBAMacroCommand",
      "Note": "Uses the Move function in VBA to move in specified direction",
      "MacroExpression": "modNavigation.Move(-2)",
      "Tags": [
        "Navigation"
      ]
    },
    {
      "Name": "Move Up 3",
      "Description": "Move up 3 cells",
      "Type": "VBAMacroCommand",
      "Note": "Uses the Move function in VBA to move in specified direction",
      "MacroExpression": "modNavigation.Move(-3)",
      "Tags": [
        "Navigation"
      ]
    },
    {
      "Name": "Move Up 4",
      "Description": "Move up 4 cells",
      "Type": "VBAMacroCommand",
      "Note": "Uses the Move function in VBA to move in specified direction",
      "MacroExpression": "modNavigation.Move(-4)",
      "Tags": [
        "Navigation"
      ]
    },
    {
      "Name": "Multiply Array by Array Above",
      "Description": "Multiply array by array above.",
      "Type": "ExcelFormulaCommand",
      "LaunchCodes": [
        "MAA"
      ],
      "Formula": "=[[ActiveCell::Formula]]*[[ActiveCell.Offset(-1,0).Cells(1,1).SpillingToRange]]",
      "Tags": [
        "Formula"
      ]
    },
    {
      "Name": "Multiply Array by Left Most Array",
      "Description": "Multiply array by left most array.",
      "Type": "ExcelFormulaCommand",
      "LaunchCodes": [
        "MAL"
      ],
      "Formula": "=[[ActiveCell::Formula]]*[[ActiveCell.CurrentRegion.Cells(1,1).SpillingToRange]]",
      "Tags": [
        "Formula"
      ]
    },
    {
      "Name": "Multiply Array by Value 5 Cells Up",
      "Description": "Multiply array by the value in the cell 5 cells above",
      "Type": "ExcelFormulaCommand",
      "LaunchCodes": [
        "MA5U"
      ],
      "Formula": "=[[ActiveCell::Formula]]*[[ActiveCell.Offset(-5,0).Cells(1,1)]]",
      "Tags": [
        "Formula"
      ]
    },
    {
      "Name": "Multiply By 1000",
      "Description": "Multiply by 1000",
      "Type": "ExcelFormulaCommand",
      "LaunchCodes": [
        "m1k"
      ],
      "Formula": "=([[ActiveCell::Formula]])*1000",
      "Tags": [
        "Convert"
      ]
    },
    {
      "Name": "Multiply By 2",
      "Description": "Multiply by 2",
      "Type": "ExcelFormulaCommand",
      "LaunchCodes": [
        "m2"
      ],
      "Formula": "=([[ActiveCell::Formula]])*2",
      "Tags": [
        "Convert"
      ]
    },
    {
      "Name": "Multiply By 60",
      "Description": "Multiply by 60",
      "Type": "ExcelFormulaCommand",
      "LaunchCodes": [
        "m60"
      ],
      "Formula": "=([[ActiveCell::Formula]])*60",
      "Tags": [
        "Convert"
      ]
    },
    {
      "Name": "Name Range from Top Row",
      "Description": "Name range from top row.",
      "Type": "ExcelSendKeysCommand",
      "LaunchCodes": [
        "nt"
      ],
      "Keystrokes": [
        "CTRL+SHIFT+F3",
        "ALT+T",
        "{ENTER}"
      ],
      "Tags": [
        "Name"
      ]
    },
    {
      "Name": "Paste Filter Array By Copied Cells in Column 1",
      "Description": "Wraps array formula with function returning active array filtered by copied cells in first column of array.",
      "Type": "ExcelFormulaCommand",
      "UserContextFilter": "ClipboardHasExcelData",
      "LaunchCodes": [
        "pfa"
      ],
      "Formula": "=FilterArray([[Selection.EachCell.SpillParent::Formula]],1,[[Clipboard.EachCell]])",
      "DestinationRangeAddress": "[Selection.EachCell.SpillParent]",
      "Tags": [
        "Filter"
      ],
      "FormulaDependencies": [
        "IsInList.lambda",
        "FilterArray.lambda"
      ]
    },
    {
      "Name": "Paste Filter Array By Copied Cells in Row 1",
      "Description": "Wraps array formula with function returning active array filtered by copied cells in first row of array.",
      "Type": "ExcelFormulaCommand",
      "UserContextFilter": "ClipboardHasExcelData",
      "LaunchCodes": [
        "pfa"
      ],
      "Formula": "=TRANSPOSE(FilterArray(TRANSPOSE([[Selection.EachCell.SpillParent::Formula]]),1,[[Clipboard.EachCell]]))",
      "DestinationRangeAddress": "[Selection.EachCell.SpillParent]",
      "Tags": [
        "Filter"
      ],
      "FormulaDependencies": [
        "IsInList.lambda",
        "FilterArray.lambda"
      ]
    },
    {
      "Name": "Paste Get Items Not in List",
      "Description": "Apply NotInList lambda function to active cell, using clipboard as array to check against.",
      "Type": "ExcelFormulaCommand",
      "Note": "Apply NotInList lambda function to active cell, using clipboard as array to check against.",
      "LaunchCodes": [
        "PGNIL"
      ],
      "Formula": "=NotInList([[Clipboard::AddressRelativeAbsolute]],[[ActiveCell::Formula]])",
      "Tags": [
        "Formula"
      ],
      "FormulaDependencies": [
        "NotInList.lambda",
        "IsInList.lambda"
      ]
    },
    {
      "Name": "Paste Join by Semicolon",
      "Description": "Paste join by semicolon.",
      "Type": "ExcelFormulaCommand",
      "Note": "Joins the clipboard reference using semicolon by wrapping into a TEXTJOIN function",
      "LaunchCodes": [
        "PJ;"
      ],
      "Formula": "=TEXTJOIN(\";\",TRUE,[[Clipboard]])",
      "Tags": [
        "Formula"
      ]
    },
    {
      "Name": "Remove Columns Of ArrayS",
      "Description": "Removes specified columns of array using RemoveCols lambda.",
      "Type": "ExcelFormulaCommand",
      "UserContextFilter": "ExcelActiveCellIsInSpillingToRange;ExcelSelectionIsMultipleCells",
      "HelpImage": "Remove_Columns_Rows_Of_Array.png",
      "LaunchCodes": [
        "rc"
      ],
      "Formula": "=RemoveCols([[EachCell.SpillParent::Formula]], {{Selected_Column_Indexes_In_Spilling_Range}})",
      "DestinationRangeAddress": "[[EachCell.SpillParent]]",
      "FormulaDependencies": [
        "RemoveCols.lambda"
      ]
    },
    {
      "Name": "Run Commands From Sheet",
      "Description": "Run commands from sheet.",
      "Type": "VBAMacroCommand",
      "LaunchCodes": [
        "run"
      ],
      "MacroExpression": "modMisc.RunCommandsFromSheet([[ActiveCell]])",
      "Tags": [
        "Misc"
      ]
    },
    {
      "Name": "Run Robot Command Line By Line",
      "Description": "Run robot command line by line.",
      "Type": "VBAMacroCommand",
      "MacroExpression": "modUtilities.RunRobotCommandLineByLine({{CommandName}})"
    },
    {
      "Name": "Run Robot Command Line By Line With Clipboard",
      "Description": "Run robot command line by line with clipboard.",
      "Type": "VBAMacroCommand",
      "MacroExpression": "modUtilities.RunRobotCommandLineByLineWithClipboard({{CommandName}})",
      "Tags": [
        "Misc"
      ]
    },
    {
      "Name": "Scroll To Selection",
      "Description": "Scroll to selection.",
      "Type": "VBAMacroCommand",
      "LaunchCodes": [
        "ss"
      ],
      "MacroExpression": "modNavigation.ScrollToSelection()",
      "Tags": [
        "Navigation"
      ]
    },
    {
      "Name": "Select Current Region",
      "Description": "Select current region.",
      "Type": "VBAMacroCommand",
      "LaunchCodes": [
        "SCR"
      ],
      "MacroExpression": "modNavigation.SelectCurrentRegion()",
      "Tags": [
        "Navigation"
      ]
    },
    {
      "Name": "Select Down",
      "Description": "Select down. (ctrl shift down)",
      "Type": "ExcelSendKeysCommand",
      "Keystrokes": [
        "CTRL+SHIFT+{DOWN}"
      ],
      "Tags": [
        "Navigation"
      ]
    },
    {
      "Name": "Select Example And Questions",
      "Description": "Select example and questions.",
      "Type": "VBAMacroCommand",
      "LaunchCodes": [
        "SEQ"
      ],
      "MacroExpression": "modNavigation.SelectExampleAndQuestions()",
      "Tags": [
        "Navigation"
      ]
    },
    {
      "Name": "Select First Answer Cell",
      "Description": "Go to first answer cell",
      "Type": "VBAMacroCommand",
      "LaunchCodes": [
        "GFA",
        "SFA"
      ],
      "MacroExpression": "modNavigation.SelectFirstAnswerCell()",
      "Tags": [
        "Navigation"
      ]
    },
    {
      "Name": "Select First Input",
      "Description": "Select first input.",
      "Type": "VBAMacroCommand",
      "LaunchCodes": [
        "fi"
      ],
      "MacroExpression": "modNavigation.SelectFirstInput()",
      "Tags": [
        "Select"
      ]
    },
    {
      "Name": "Select Input Pre1 And Remove",
      "Description": "Select input 1 to the left of last input and remove.",
      "Type": "VBAMacroCommand",
      "LaunchCodes": [
        "r-1"
      ],
      "MacroExpression": "modNavigation.SelectInputPre1AndRemove({{strRemove}})",
      "Tags": [
        "Replace"
      ]
    },
    {
      "Name": "Select Last Column To Right",
      "Description": "Select last column to right.",
      "Type": "VBAMacroCommand",
      "LaunchCodes": [
        "LC"
      ],
      "MacroExpression": "modNavigation.SelectLastColumnToRight()",
      "Tags": [
        "Navigation"
      ]
    },
    {
      "Name": "Select Last Input",
      "Description": "Select last input.",
      "Type": "VBAMacroCommand",
      "LaunchCodes": [
        "LI"
      ],
      "MacroExpression": "modNavigation.SelectLastInput()",
      "Tags": [
        "Select"
      ]
    },
    {
      "Name": "Select Last Input And Remove",
      "Description": "Select last input column and remove specified text.",
      "Type": "VBAMacroCommand",
      "LaunchCodes": [
        "R-0"
      ],
      "MacroExpression": "modNavigation.SelectInputAndRemove({{strRemove}})",
      "Tags": [
        "Replace"
      ]
    },
    {
      "Name": "Select Next Column",
      "Description": "Select next column.",
      "Type": "VBAMacroCommand",
      "LaunchCodes": [
        "snc"
      ],
      "MacroExpression": "modNavigation.SelectNextColumn()",
      "Tags": [
        "Select"
      ]
    },
    {
      "Name": "Select Previous Column",
      "Description": "Select previous column.",
      "Type": "VBAMacroCommand",
      "LaunchCodes": [
        "spc"
      ],
      "MacroExpression": "modNavigation.SelectPrevColumn()",
      "Tags": [
        "Select"
      ]
    },
    {
      "Name": "Select Right",
      "Description": "Select right. (ctrl shift right)",
      "Type": "ExcelSendKeysCommand",
      "Note": "Selects area to right of selection, including starting cell\r\n",
      "Keystrokes": [
        "CTRL+SHIFT+RIGHTARROW"
      ],
      "Tags": [
        "Navigation"
      ]
    },
    {
      "Name": "Select Spill Range",
      "Description": "Select spill range.",
      "Type": "VBAMacroCommand",
      "LaunchCodes": [
        "spill",
        "ss"
      ],
      "MacroExpression": "modNavigation.SelectSpillRange()",
      "Tags": [
        "Select"
      ]
    },
    {
      "Name": "Split Text by Semicolon",
      "Description": "Split text by delimiter ; and trim output.",
      "Type": "ExcelFormulaCommand",
      "LaunchCodes": [
        "S;"
      ],
      "Formula": "=TRIM(TEXTSPLIT([[ActiveCell::Formula]],\";\",,TRUE))",
      "Tags": [
        "WrapWith"
      ]
    },
    {
      "Name": "Subtract 1",
      "Description": "Subtract 1.",
      "Type": "ExcelFormulaCommand",
      "LaunchCodes": [
        "S1"
      ],
      "Formula": "=[[ActiveCell::Formula]]-1",
      "Tags": [
        "Convert"
      ]
    },
    {
      "Name": "Sum By Step (step last)",
      "Description": "Cumulative Sum by step where step is in the last column.",
      "Type": "VBAMacroCommand",
      "MacroExpression": "modArrays.SumByStep([Clipboard],True)",
      "OutputRange": "[Selection]"
    },
    {
      "Name": "Unique Rows and Columns of Array",
      "Description": "Unique rows and columns of array.",
      "Type": "ExcelFormulaCommand",
      "LaunchCodes": [
        "URC"
      ],
      "Formula": "=UNIQUE(UNIQUE([[ActiveCell::Formula]]), TRUE)",
      "Tags": [
        "Keep"
      ]
    },
    {
      "Name": "XLOOKUP Value in Arrays to Left",
      "Description": "XLOOKUP cell value in arrays to left (1 column for lookup range, 2 columns for return range).",
      "Type": "ExcelFormulaCommand",
      "UserContextFilter": "ExcelActiveCellIsNotEmpty",
      "LaunchCodes": [
        "ll"
      ],
      "Formula": "=XLOOKUP([[ActiveCell::Formula]],[[ActiveCell.Offset(0,-1).SpillParent.SpillingToRange]],[[ActiveCell.Offset(0,-2).SpillParent.SpillingToRange]])",
      "Tags": [
        "Formula"
      ]
    },
    {
      "Name": "XMATCH Array in Cell with Paste Value",
      "Description": "Applies XMATCH to the array in the cell, looking for the value in the Clipboard",
      "Type": "ExcelFormulaCommand",
      "Note": "Applies XMATCH to the array in the cell, looking for the value in the Clipboard",
      "LaunchCodes": [
        "PM"
      ],
      "Formula": "=XMATCH([[Clipboard]],[[ActiveCell::Formula]],0)",
      "Tags": [
        "Formula"
      ]
    },
    {
      "Name": "XMATCH with Array 2 Columns Left",
      "Description": "Xmatch with left array (2 columns left).",
      "Type": "ExcelFormulaCommand",
      "LaunchCodes": [
        "M2L"
      ],
      "Formula": "=XMATCH([[ActiveCell::Formula]],[[ActiveCell.Offset(0,-2).SpillParent.SpillingToRange]],0)",
      "Tags": [
        "Formula"
      ]
    },
    {
      "Name": "XMATCH with Array 2 Rows Up",
      "Description": "Xmatch with above array (2 rows up).",
      "Type": "ExcelFormulaCommand",
      "LaunchCodes": [
        "M2U"
      ],
      "Formula": "=XMATCH([[ActiveCell::Formula]],[[ActiveCell.Offset(-2,0).SpillParent.SpillingToRange]],0)",
      "Tags": [
        "Formula"
      ]
    }
  ],
  "Texts": [
    {
      "Name": "AddressLookup.lambda",
      "Description": "Definition of AddressLookup lambda function.",
      "Type": "ExcelNameText",
      "ContentType": "ExcelLambda",
      "Location": "AddressLookup"
    },
    {
      "Name": "ALOOKUP.lambda",
      "Description": "Definition of ALOOKUP lambda function.",
      "Type": "ExcelNameText",
      "ContentType": "ExcelLambda",
      "Location": "ALOOKUP"
    },
    {
      "Name": "ArrayDistances.lambda",
      "Description": "Definition of ArrayDistances lambda function.",
      "Type": "ExcelNameText",
      "ContentType": "ExcelFormula",
      "Location": "ArrayDistances"
    },
    {
      "Name": "ARROWSHIFT.lambda",
      "Description": "Definition of ARROWSHIFT lambda function.",
      "Type": "ExcelNameText",
      "ContentType": "ExcelLambda",
      "Location": "ARROWSHIFT"
    },
    {
      "Name": "Base_Speed__km_h.name",
      "Description": "Definition of Base_Speed__km_h.",
      "Type": "ExcelNameText",
      "ContentType": "ExcelFormula",
      "Location": "Base_Speed__km_h"
    },
    {
      "Name": "CountErrors.lambda",
      "Description": "Definition of CountErrors lambda function.",
      "Type": "ExcelNameText",
      "ContentType": "ExcelLambda",
      "Location": "CountErrors"
    },
    {
      "Name": "EZINDARR_byLiannaGerrish.lambda",
      "Description": "Definition of EZINDARR_byLiannaGerrish lambda function.",
      "Type": "ExcelNameText",
      "ContentType": "ExcelFormula",
      "Location": "EZINDARR_byLiannaGerrish"
    },
    {
      "Name": "EZINDIRECT_byLiannaGerrish.lambda",
      "Description": "Definition of EZINDIRECT_byLiannaGerrish lambda function.",
      "Type": "ExcelNameText",
      "ContentType": "ExcelFormula",
      "Location": "EZINDIRECT_byLiannaGerrish"
    },
    {
      "Name": "GetAddress.lambda",
      "Description": "Definition of GetAddress lambda function.",
      "Type": "ExcelNameText",
      "ContentType": "ExcelLambda",
      "Location": "GetAddress"
    },
    {
      "Name": "IsInList.lambda",
      "Description": "Definition of IsInList lambda function.",
      "Type": "ExcelNameText",
      "ContentType": "ExcelLambda",
      "Location": "IsInList"
    },
    {
      "Name": "Movement.lambda",
      "Description": "Definition of Movement lambda function.",
      "Type": "ExcelNameText",
      "ContentType": "ExcelFormula",
      "Location": "Movement"
    },
    {
      "Name": "NotInList.lambda",
      "Description": "Definition of NotInList lambda function.",
      "Type": "ExcelNameText",
      "ContentType": "ExcelLambda",
      "Location": "NotInList"
    },
    {
      "Name": "PackWeight.lambda",
      "Description": "Definition of PackWeight lambda function.",
      "Type": "ExcelNameText",
      "ContentType": "ExcelFormula",
      "Location": "PackWeight"
    },
    {
      "Name": "PackWeightMult.lambda",
      "Description": "Definition of PackWeightMult lambda function.",
      "Type": "ExcelNameText",
      "ContentType": "ExcelFormula",
      "Location": "PackWeightMult"
    },
    {
      "Name": "TerrainBaseSpeed.lambda",
      "Description": "Definition of TerrainBaseSpeed lambda function.",
      "Type": "ExcelNameText",
      "ContentType": "ExcelFormula",
      "Location": "TerrainBaseSpeed"
    },
    {
      "Name": "TerrMap.name",
      "Description": "Definition of TerrMap.",
      "Type": "ExcelNameText",
      "ContentType": "ExcelLambda",
      "Location": "TerrMap"
    },
    {
      "Name": "TopoMap.name",
      "Description": "Definition of TopoMap.",
      "Type": "ExcelNameText",
      "ContentType": "ExcelLambda",
      "Location": "TopoMap"
    }
  ]
}
]]></JSON>
</file>

<file path=customXml/item5.xml><?xml version="1.0" encoding="utf-8"?>
<Text><![CDATA[
/*Gets the address of the range referenced in the cell.  */
GetAddress = LAMBDA(rng, LET(
   \\LambdaName, "GetAddress",
   \\CommandName, "Get Address",
   \\Description, "Gets the address of the range referenced in the cell",
   ADDRESS(ROW(rng), COLUMN(rng), 4)
));
]]></Text>
</file>

<file path=customXml/item6.xml><?xml version="1.0" encoding="utf-8"?>
<Text><![CDATA[
ARROWSHIFT =  LAMBDA(starting_cell,arrow, LET(
   Arrows, VSTACK("↗", "↓", "↖", "←", "→", "↙", "↘", "↑"),
   Cards, VSTACK("NE", "S", "NW", "W", "E", "SW", "SE", "N"),
   Arrowsx, VSTACK(1, 0, -1, -1, 1, -1, 1, 0),
   Arrowsy, VSTACK(-1, 1, -1, 0, 0, 1, 1, -1),
   CardInd, ISERROR(XMATCH(RIGHT(arrow), Arrows, 0)),
   CardComment, "Multiplier Can Only Be Used On Arrows",
   d, IF(CardInd, arrow, RIGHT(arrow, 1)),
   m, IF((LEN(arrow) = 1) + CardInd, 1, 1 * LEFT(arrow, LEN(arrow) - 1)),
   xmoveunit, XLOOKUP(d, IF(CardInd, Cards, Arrows), Arrowsx),
   ymoveunit, XLOOKUP(d, IF(CardInd, Cards, Arrows), Arrowsy),
   xmove, xmoveunit * m,
   ymove, ymoveunit * m,
   collet, TAKE(TEXTSPLIT(starting_cell, SEQUENCE(, 10, 0)), , 1),
   startcol, COLUMN(INDIRECT(collet & 1)),
   startrow, 1 * RIGHT(starting_cell, LEN(starting_cell) - LEN(collet)),
   newcell, ADDRESS(startrow + ymove, startcol + xmove, 4),
   newcell
));
]]></Text>
</file>

<file path=customXml/item7.xml><?xml version="1.0" encoding="utf-8"?>
<Text><![CDATA[
NotInList = LAMBDA(array,list,LET(\\LambdaName, "NotInList", FILTER(array, NOT(IsInList(array, list)))));
]]></Text>
</file>

<file path=customXml/item8.xml><?xml version="1.0" encoding="utf-8"?>
<Text><![CDATA[
]]></Text>
</file>

<file path=customXml/item9.xml><?xml version="1.0" encoding="utf-8"?>
<Text><![CDATA[
ArrayDistances = LAMBDA(TerrainArray, LET(
   \\LambdaName, "ArrayDistances",
   _Cells, CHOOSECOLS(TerrainArray, 2),
   _Result, _Cells / 2,
   _Result
));
]]></Text>
</file>

<file path=customXml/item10.xml><?xml version="1.0" encoding="utf-8"?>
<Text><![CDATA[
]]></Text>
</file>

<file path=customXml/item11.xml><?xml version="1.0" encoding="utf-8"?>
<Text><![CDATA[
]]></Text>
</file>

<file path=customXml/item12.xml>�� 
</file>

<file path=customXml/item13.xml><?xml version="1.0" encoding="utf-8"?>
<Text><![CDATA[
Movement = LAMBDA(input_array,LET(_InRows, ROWS(input_array) > 1, _Count, IF(_InRows, ROWS(input_array), COLUMNS(input_array)), _After, DROP(input_array, IF(_InRows, 1, 0), IF(_InRows, 0, 1)), _Before, TAKE(input_array, IF(_InRows, _Count - 1, 1), IF(_InRows, 1, _Count - 1)), _Result, IF(_After > _Before, "UP", IF(_After < _Before, "DOWN", "SAME")), _Result));
]]></Text>
</file>

<file path=customXml/item14.xml><?xml version="1.0" encoding="utf-8"?>
<Text><![CDATA[
ALOOKUP = LAMBDA(LookupValue,LookupRange, LET(
   _GetAddresses, GetAddress((LookupRange)),
   _Result, FILTER(TOCOL(_GetAddresses), TOCOL(LookupRange) = LookupValue),
   _Result
));
]]></Text>
</file>

<file path=customXml/item15.xml><?xml version="1.0" encoding="utf-8"?>
<Text><![CDATA[
/*Applies INDIRECT to array.  */
EZINDARR_byLiannaGerrish = LAMBDA(addarr,[sheetname], LET(
   \\LambdaName, "EZINDARR_byLiannaGerrish",
   \\Description, "Applies INDIRECT to array",
   IFERROR(
      MAP(
         addarr,
         LAMBDA(a,
            IF(
               OR(ISOMITTED(sheetname), sheetname = ""),
               INDIRECT(a),
               INDIRECT("'" & sheetname & "'!" & a)
            )
         )
      ),
      ""
   )
));
]]></Text>
</file>

<file path=customXml/item16.xml><?xml version="1.0" encoding="utf-8"?>
<Text><![CDATA[
IsInList = LAMBDA(array,list,LET(\\LambdaName, "IsInList", MAP(array, LAMBDA(x, OR(list = x)))));
]]></Text>
</file>

<file path=customXml/item17.xml><?xml version="1.0" encoding="utf-8"?>
<Text><![CDATA[
TerrainBaseSpeed = LAMBDA(TerrainArray, LET(
   \\LambdaName, "TerrainBaseSpeed",
   _SpeedsTerr, Speeds[Terrain],
   _SpeedsSpeed, Speeds[Speed],
   _Terrain, CHOOSECOLS(TerrainArray, 1),
   _Result, MAP(_Terrain, LAMBDA(name, XLOOKUP(name, _SpeedsTerr, _SpeedsSpeed, , 0))),
   _Result
));
]]></Text>
</file>

<file path=customXml/item18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19.xml><?xml version="1.0" encoding="utf-8"?>
<Text><![CDATA[
/*Counts Errors in an array / range.  */
CountErrors = LAMBDA(_array, LET(
   \\LambdaName, "CountErrors",
   \\CommandName, "Count Errors",
   \\Description, "Counts Errors in an array / range",
   SUM(IF(ISERROR(_array), 1, 0))
));
]]></Text>
</file>

<file path=customXml/item20.xml><?xml version="1.0" encoding="utf-8"?>
<Text><![CDATA[
/*Looks up an address from a range with columns in row 1 and rows in column 1.  */
AddressLookup = LAMBDA(addr,fullrange, LET(
   \\LambdaName, "AddressLookup",
   \\CommandName, "Address Lookup",
   \\Description, "Looks up an address from a range with columns in row 1 and rows in column 1",
   colheaders, DROP(TAKE(fullrange, 1), , 1),
   rowheaders, DROP(TAKE(fullrange, , 1), 1),
   dataarea, DROP(fullrange, 1, 1),
   addresses, TOCOL(colheaders & rowheaders),
   values, TOCOL(dataarea),
   XLOOKUP(addr, addresses, values)
));
]]></Text>
</file>

<file path=customXml/item21.xml><?xml version="1.0" encoding="utf-8"?>
<Text><![CDATA[
PackWeightMult = LAMBDA(pack_weight,LET(\\LambdaName, "PackWeightMult", 1 - (pack_weight / 10000)));
]]></Text>
</file>

<file path=customXml/itemProps1.xml><?xml version="1.0" encoding="utf-8"?>
<ds:datastoreItem xmlns:ds="http://schemas.openxmlformats.org/officeDocument/2006/customXml" ds:itemID="{712A136C-0F6E-44BA-9EBB-C6ACC1A3CE79}">
  <ds:schemaRefs/>
</ds:datastoreItem>
</file>

<file path=customXml/itemProps2.xml><?xml version="1.0" encoding="utf-8"?>
<ds:datastoreItem xmlns:ds="http://schemas.openxmlformats.org/officeDocument/2006/customXml" ds:itemID="{AD4EF220-88F0-4D9A-86B5-E00CF2064A99}">
  <ds:schemaRefs/>
</ds:datastoreItem>
</file>

<file path=customXml/itemProps3.xml><?xml version="1.0" encoding="utf-8"?>
<ds:datastoreItem xmlns:ds="http://schemas.openxmlformats.org/officeDocument/2006/customXml" ds:itemID="{C0296C3B-F327-4787-8CA0-94214F2F5642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CA90037D-9D39-411D-8A04-DDCCC5384101}">
  <ds:schemaRefs/>
</ds:datastoreItem>
</file>

<file path=customXml/itemProps5.xml><?xml version="1.0" encoding="utf-8"?>
<ds:datastoreItem xmlns:ds="http://schemas.openxmlformats.org/officeDocument/2006/customXml" ds:itemID="{E8C35352-5C41-43E6-9496-3E5DF35F1E5E}">
  <ds:schemaRefs/>
</ds:datastoreItem>
</file>

<file path=customXml/itemProps6.xml><?xml version="1.0" encoding="utf-8"?>
<ds:datastoreItem xmlns:ds="http://schemas.openxmlformats.org/officeDocument/2006/customXml" ds:itemID="{63046E62-7465-4FA6-84EB-A96CC366A536}">
  <ds:schemaRefs/>
</ds:datastoreItem>
</file>

<file path=customXml/itemProps7.xml><?xml version="1.0" encoding="utf-8"?>
<ds:datastoreItem xmlns:ds="http://schemas.openxmlformats.org/officeDocument/2006/customXml" ds:itemID="{7865EF58-A164-4685-9607-5E9C1118175A}">
  <ds:schemaRefs/>
</ds:datastoreItem>
</file>

<file path=customXml/itemProps8.xml><?xml version="1.0" encoding="utf-8"?>
<ds:datastoreItem xmlns:ds="http://schemas.openxmlformats.org/officeDocument/2006/customXml" ds:itemID="{B4F1EF01-DE87-477C-86D3-E025941BB85B}">
  <ds:schemaRefs/>
</ds:datastoreItem>
</file>

<file path=customXml/itemProps9.xml><?xml version="1.0" encoding="utf-8"?>
<ds:datastoreItem xmlns:ds="http://schemas.openxmlformats.org/officeDocument/2006/customXml" ds:itemID="{E5A6A93B-9BA1-462B-B1BD-F985268CC64E}">
  <ds:schemaRefs/>
</ds:datastoreItem>
</file>

<file path=customXml/itemProps10.xml><?xml version="1.0" encoding="utf-8"?>
<ds:datastoreItem xmlns:ds="http://schemas.openxmlformats.org/officeDocument/2006/customXml" ds:itemID="{C99F39D3-0771-4976-A66D-1999EC0D11CA}">
  <ds:schemaRefs/>
</ds:datastoreItem>
</file>

<file path=customXml/itemProps11.xml><?xml version="1.0" encoding="utf-8"?>
<ds:datastoreItem xmlns:ds="http://schemas.openxmlformats.org/officeDocument/2006/customXml" ds:itemID="{E665CBBD-B895-4EDE-8B14-9AAE47638AFF}">
  <ds:schemaRefs/>
</ds:datastoreItem>
</file>

<file path=customXml/itemProps12.xml><?xml version="1.0" encoding="utf-8"?>
<ds:datastoreItem xmlns:ds="http://schemas.openxmlformats.org/officeDocument/2006/customXml" ds:itemID="{E9D0BF7C-8B76-4559-A433-DA1F7139C55F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B7260D9-664C-4B6F-9F89-C937AE34FD1D}">
  <ds:schemaRefs/>
</ds:datastoreItem>
</file>

<file path=customXml/itemProps14.xml><?xml version="1.0" encoding="utf-8"?>
<ds:datastoreItem xmlns:ds="http://schemas.openxmlformats.org/officeDocument/2006/customXml" ds:itemID="{7C962461-277B-48EB-B592-26B6EE300D54}">
  <ds:schemaRefs/>
</ds:datastoreItem>
</file>

<file path=customXml/itemProps15.xml><?xml version="1.0" encoding="utf-8"?>
<ds:datastoreItem xmlns:ds="http://schemas.openxmlformats.org/officeDocument/2006/customXml" ds:itemID="{4F5AAD61-3315-4563-AC96-D310DE4BC0DB}">
  <ds:schemaRefs/>
</ds:datastoreItem>
</file>

<file path=customXml/itemProps16.xml><?xml version="1.0" encoding="utf-8"?>
<ds:datastoreItem xmlns:ds="http://schemas.openxmlformats.org/officeDocument/2006/customXml" ds:itemID="{69A82E2E-EA53-490B-95A8-14D94A96B108}">
  <ds:schemaRefs/>
</ds:datastoreItem>
</file>

<file path=customXml/itemProps17.xml><?xml version="1.0" encoding="utf-8"?>
<ds:datastoreItem xmlns:ds="http://schemas.openxmlformats.org/officeDocument/2006/customXml" ds:itemID="{B8746D50-052C-4911-8DCC-4C7A71BF2EFB}">
  <ds:schemaRefs/>
</ds:datastoreItem>
</file>

<file path=customXml/itemProps18.xml><?xml version="1.0" encoding="utf-8"?>
<ds:datastoreItem xmlns:ds="http://schemas.openxmlformats.org/officeDocument/2006/customXml" ds:itemID="{63FDA984-DCE2-400E-A840-C51334F7CEC1}">
  <ds:schemaRefs>
    <ds:schemaRef ds:uri="http://schemas.advancedformulaenvironment.officeapps.live.com/afejsonblob/1.0"/>
  </ds:schemaRefs>
</ds:datastoreItem>
</file>

<file path=customXml/itemProps19.xml><?xml version="1.0" encoding="utf-8"?>
<ds:datastoreItem xmlns:ds="http://schemas.openxmlformats.org/officeDocument/2006/customXml" ds:itemID="{E161B35A-EFBD-4C81-8036-20383E520AD4}">
  <ds:schemaRefs/>
</ds:datastoreItem>
</file>

<file path=customXml/itemProps20.xml><?xml version="1.0" encoding="utf-8"?>
<ds:datastoreItem xmlns:ds="http://schemas.openxmlformats.org/officeDocument/2006/customXml" ds:itemID="{FA6B7D71-599E-49D9-BA5B-DE8C2D23E05A}">
  <ds:schemaRefs/>
</ds:datastoreItem>
</file>

<file path=customXml/itemProps21.xml><?xml version="1.0" encoding="utf-8"?>
<ds:datastoreItem xmlns:ds="http://schemas.openxmlformats.org/officeDocument/2006/customXml" ds:itemID="{8AD7A636-A50A-4B7D-91E1-38C118ADA1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Info</vt:lpstr>
      <vt:lpstr>ActiveCases</vt:lpstr>
      <vt:lpstr>List</vt:lpstr>
      <vt:lpstr>A-Z</vt:lpstr>
      <vt:lpstr>Commands</vt:lpstr>
      <vt:lpstr>A</vt:lpstr>
      <vt:lpstr>B</vt:lpstr>
      <vt:lpstr>Z</vt:lpstr>
      <vt:lpstr>Actual_used</vt:lpstr>
      <vt:lpstr>CumPack</vt:lpstr>
      <vt:lpstr>Random</vt:lpstr>
      <vt:lpstr>Select_Your_Access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2026-03-20T18:40:55Z</dcterms:created>
  <dcterms:modified xsi:type="dcterms:W3CDTF">2026-07-21T15:11:50Z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{C0296C3B-F327-4787-8CA0-94214F2F5642}</vt:lpwstr>
  </property>
  <property fmtid="{D5CDD505-2E9C-101B-9397-08002B2CF9AE}" pid="3" name="OA Tools Last Modified">
    <vt:lpwstr>2026-07-21 14:46:30 UTC</vt:lpwstr>
  </property>
</Properties>
</file>