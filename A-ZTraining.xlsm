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534e1f3e8d9cda95/Excel/Training/"/>
    </mc:Choice>
  </mc:AlternateContent>
  <xr:revisionPtr revIDLastSave="1011" documentId="8_{B0A6335D-8230-4873-9647-BCC029FCF672}" xr6:coauthVersionLast="47" xr6:coauthVersionMax="47" xr10:uidLastSave="{121ABEE0-5778-4C1D-8DD2-49D1D94F23E2}"/>
  <bookViews>
    <workbookView xWindow="-120" yWindow="-120" windowWidth="51840" windowHeight="21120" xr2:uid="{5ED3D436-AEAC-4DF1-9864-8B46A7FFEB13}"/>
  </bookViews>
  <sheets>
    <sheet name="Info" sheetId="8" r:id="rId1"/>
    <sheet name="ActiveCases" sheetId="9" state="hidden" r:id="rId2"/>
    <sheet name="List" sheetId="1" r:id="rId3"/>
    <sheet name="A-Z" sheetId="2" r:id="rId4"/>
    <sheet name="Commands" sheetId="6" r:id="rId5"/>
    <sheet name="A" sheetId="4" r:id="rId6"/>
    <sheet name="Z" sheetId="7" r:id="rId7"/>
  </sheets>
  <functionGroups builtInGroupCount="19"/>
  <definedNames>
    <definedName name="_xlnm._FilterDatabase" localSheetId="2" hidden="1">List!#REF!</definedName>
    <definedName name="_xleta.COUNTIF" hidden="1" xlm="1">#NAME?</definedName>
    <definedName name="_xleta.FILTER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ANSPOSE" hidden="1" xlm="1">#NAME?</definedName>
    <definedName name="_xleta.XLOOKUP" hidden="1" xlm="1">#NAME?</definedName>
    <definedName name="_xlpm.\\LambdaName" hidden="1" xlm="1">#NAME?</definedName>
    <definedName name="_xlpm._Codes" hidden="1" xlm="1">#NAME?</definedName>
    <definedName name="_xlpm._Result" hidden="1" xlm="1">#NAME?</definedName>
    <definedName name="_xlpm.arr" hidden="1" xlm="1">#NAME?</definedName>
    <definedName name="_xlpm.botcommandnames" hidden="1" xlm="1">#NAME?</definedName>
    <definedName name="_xlpm.botcommands" hidden="1" xlm="1">#NAME?</definedName>
    <definedName name="_xlpm.casespecific" hidden="1" xlm="1">#NAME?</definedName>
    <definedName name="_xlpm.col_sums" hidden="1" xlm="1">#NAME?</definedName>
    <definedName name="_xlpm.colls" hidden="1" xlm="1">#NAME?</definedName>
    <definedName name="_xlpm.commands" hidden="1" xlm="1">#NAME?</definedName>
    <definedName name="_xlpm.count" hidden="1" xlm="1">#NAME?</definedName>
    <definedName name="_xlpm.curr" hidden="1" xlm="1">#NAME?</definedName>
    <definedName name="_xlpm.CycleLETResultStep" hidden="1" xlm="1">#NAME?</definedName>
    <definedName name="_xlpm.f" hidden="1" xlm="1">#NAME?</definedName>
    <definedName name="_xlpm.fi" hidden="1" xlm="1">#NAME?</definedName>
    <definedName name="_xlpm.fil" hidden="1" xlm="1">#NAME?</definedName>
    <definedName name="_xlpm.filt" hidden="1" xlm="1">#NAME?</definedName>
    <definedName name="_xlpm.filte" hidden="1" xlm="1">#NAME?</definedName>
    <definedName name="_xlpm.filter" hidden="1" xlm="1">#NAME?</definedName>
    <definedName name="_xlpm.filterc" hidden="1" xlm="1">#NAME?</definedName>
    <definedName name="_xlpm.filterco" hidden="1" xlm="1">#NAME?</definedName>
    <definedName name="_xlpm.filtercol" hidden="1" xlm="1">#NAME?</definedName>
    <definedName name="_xlpm.filtercols" hidden="1" xlm="1">#NAME?</definedName>
    <definedName name="_xlpm.filterr" hidden="1" xlm="1">#NAME?</definedName>
    <definedName name="_xlpm.filterro" hidden="1" xlm="1">#NAME?</definedName>
    <definedName name="_xlpm.filterrow" hidden="1" xlm="1">#NAME?</definedName>
    <definedName name="_xlpm.filterrows" hidden="1" xlm="1">#NAME?</definedName>
    <definedName name="_xlpm.games" hidden="1" xlm="1">#NAME?</definedName>
    <definedName name="_xlpm.keep_cols" hidden="1" xlm="1">#NAME?</definedName>
    <definedName name="_xlpm.keep_rows" hidden="1" xlm="1">#NAME?</definedName>
    <definedName name="_xlpm.nqout" hidden="1" xlm="1">#NAME?</definedName>
    <definedName name="_xlpm.numeric" hidden="1" xlm="1">#NAME?</definedName>
    <definedName name="_xlpm.ones_col" hidden="1" xlm="1">#NAME?</definedName>
    <definedName name="_xlpm.ones_row" hidden="1" xlm="1">#NAME?</definedName>
    <definedName name="_xlpm.out" hidden="1" xlm="1">#NAME?</definedName>
    <definedName name="_xlpm.r" hidden="1" xlm="1">#NAME?</definedName>
    <definedName name="_xlpm.ra" hidden="1" xlm="1">#NAME?</definedName>
    <definedName name="_xlpm.ran" hidden="1" xlm="1">#NAME?</definedName>
    <definedName name="_xlpm.rand" hidden="1" xlm="1">#NAME?</definedName>
    <definedName name="_xlpm.rando" hidden="1" xlm="1">#NAME?</definedName>
    <definedName name="_xlpm.RANDOM" hidden="1" xlm="1">#NAME?</definedName>
    <definedName name="_xlpm.row_sums" hidden="1" xlm="1">#NAME?</definedName>
    <definedName name="_xlpm.step1" hidden="1" xlm="1">#NAME?</definedName>
    <definedName name="_xlpm.step2" hidden="1" xlm="1">#NAME?</definedName>
    <definedName name="_xlpm.u" hidden="1" xlm="1">#NAME?</definedName>
    <definedName name="_xlpm.un" hidden="1" xlm="1">#NAME?</definedName>
    <definedName name="_xlpm.unq" hidden="1" xlm="1">#NAME?</definedName>
    <definedName name="_xlpm.unqc" hidden="1" xlm="1">#NAME?</definedName>
    <definedName name="_xlpm.unqca" hidden="1" xlm="1">#NAME?</definedName>
    <definedName name="_xlpm.unqcas" hidden="1" xlm="1">#NAME?</definedName>
    <definedName name="_xlpm.unqcase" hidden="1" xlm="1">#NAME?</definedName>
    <definedName name="_xlpm.unqcases" hidden="1" xlm="1">#NAME?</definedName>
    <definedName name="_xlpm.unqcasesp" hidden="1" xlm="1">#NAME?</definedName>
    <definedName name="_xlpm.unqcasespe" hidden="1" xlm="1">#NAME?</definedName>
    <definedName name="_xlpm.unqcasespec" hidden="1" xlm="1">#NAME?</definedName>
    <definedName name="_xlpm.unqcasespeci" hidden="1" xlm="1">#NAME?</definedName>
    <definedName name="_xlpm.unqcasespecif" hidden="1" xlm="1">#NAME?</definedName>
    <definedName name="_xlpm.unqcasespecifi" hidden="1" xlm="1">#NAME?</definedName>
    <definedName name="_xlpm.unqcasespecific" hidden="1" xlm="1">#NAME?</definedName>
    <definedName name="_xlpm.unqcollection" hidden="1" xlm="1">#NAME?</definedName>
    <definedName name="_xlpm.unqcommandnames" hidden="1" xlm="1">#NAME?</definedName>
    <definedName name="_xlpm.unqcommands" hidden="1" xlm="1">#NAME?</definedName>
    <definedName name="_xlpm.unqcount" hidden="1" xlm="1">#NAME?</definedName>
    <definedName name="_xlpm.unqdesc" hidden="1" xlm="1">#NAME?</definedName>
    <definedName name="_xlpm.unqout" hidden="1" xlm="1">#NAME?</definedName>
    <definedName name="_xlpm.unqshortcut" hidden="1" xlm="1">#NAME?</definedName>
    <definedName name="_xlpm.unqshortcut_clean" hidden="1" xlm="1">#NAME?</definedName>
    <definedName name="_xlpm.uunnqout" hidden="1" xlm="1">#NAME?</definedName>
    <definedName name="_xlpm.uunqout" hidden="1" xlm="1">#NAME?</definedName>
    <definedName name="_xlpm.uuntnqout" hidden="1" xlm="1">#NAME?</definedName>
    <definedName name="Actual_used">'A-Z'!$E$3</definedName>
    <definedName name="ExternalData_1" localSheetId="1" hidden="1">ActiveCases!$B$2:$F$179</definedName>
    <definedName name="ExternalData_2" localSheetId="2" hidden="1">List!$B$4:$G$181</definedName>
    <definedName name="Letters">_xlfn.LAMBDA(_xlfn.LET(_xlpm.\\LambdaName, "Letters", _xlpm._Codes, CHAR(_xlfn.SEQUENCE(26) + 64), _xlpm._Codes))</definedName>
    <definedName name="Random">'A-Z'!$C$3</definedName>
    <definedName name="Select_Your_Access">List!$C$2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C4" i="2" l="1" a="1"/>
  <c r="C4" i="2" s="1"/>
  <c r="C29" i="2" a="1"/>
  <c r="C29" i="2" s="1"/>
  <c r="C28" i="2" a="1"/>
  <c r="C28" i="2" s="1"/>
  <c r="C27" i="2" a="1"/>
  <c r="C27" i="2" s="1"/>
  <c r="C26" i="2" a="1"/>
  <c r="C26" i="2" s="1"/>
  <c r="C25" i="2" a="1"/>
  <c r="C25" i="2" s="1"/>
  <c r="C24" i="2" a="1"/>
  <c r="C24" i="2" s="1"/>
  <c r="C23" i="2" a="1"/>
  <c r="C23" i="2" s="1"/>
  <c r="C22" i="2" a="1"/>
  <c r="C22" i="2" s="1"/>
  <c r="C21" i="2" a="1"/>
  <c r="C21" i="2" s="1"/>
  <c r="C20" i="2" a="1"/>
  <c r="C20" i="2" s="1"/>
  <c r="C19" i="2" a="1"/>
  <c r="C19" i="2" s="1"/>
  <c r="C18" i="2" a="1"/>
  <c r="C18" i="2" s="1"/>
  <c r="C17" i="2" a="1"/>
  <c r="C17" i="2" s="1"/>
  <c r="C16" i="2" a="1"/>
  <c r="C16" i="2" s="1"/>
  <c r="C15" i="2" a="1"/>
  <c r="C15" i="2" s="1"/>
  <c r="C14" i="2" a="1"/>
  <c r="C14" i="2" s="1"/>
  <c r="C13" i="2" a="1"/>
  <c r="C13" i="2" s="1"/>
  <c r="C12" i="2" a="1"/>
  <c r="C12" i="2" s="1"/>
  <c r="C11" i="2" a="1"/>
  <c r="C11" i="2" s="1"/>
  <c r="C10" i="2" a="1"/>
  <c r="C10" i="2" s="1"/>
  <c r="C9" i="2" a="1"/>
  <c r="C9" i="2" s="1"/>
  <c r="C8" i="2" a="1"/>
  <c r="C8" i="2" s="1"/>
  <c r="C7" i="2" a="1"/>
  <c r="C7" i="2" s="1"/>
  <c r="C6" i="2" a="1"/>
  <c r="C6" i="2" s="1"/>
  <c r="C5" i="2" a="1"/>
  <c r="C5" i="2" s="1"/>
  <c r="F4" i="2" a="1"/>
  <c r="F4" i="2" s="1"/>
  <c r="D4" i="2" l="1" a="1"/>
  <c r="D4" i="2" s="1"/>
  <c r="J4" i="2"/>
  <c r="K4" i="2"/>
  <c r="C5" i="6" l="1" a="1"/>
  <c r="C5" i="6" s="1"/>
  <c r="B5" i="7" a="1"/>
  <c r="B5" i="7" s="1"/>
  <c r="B5" i="4" a="1"/>
  <c r="B5" i="4" s="1"/>
  <c r="O29" i="2"/>
  <c r="O28" i="2"/>
  <c r="O27" i="2"/>
  <c r="O26" i="2"/>
  <c r="O25" i="2"/>
  <c r="O24" i="2"/>
  <c r="O23" i="2"/>
  <c r="O22" i="2"/>
  <c r="O21" i="2"/>
  <c r="O20" i="2"/>
  <c r="O19" i="2"/>
  <c r="O18" i="2"/>
  <c r="O17" i="2"/>
  <c r="O16" i="2"/>
  <c r="O15" i="2"/>
  <c r="O14" i="2"/>
  <c r="O13" i="2"/>
  <c r="O12" i="2"/>
  <c r="O11" i="2"/>
  <c r="O10" i="2"/>
  <c r="O9" i="2"/>
  <c r="O8" i="2"/>
  <c r="O7" i="2"/>
  <c r="O6" i="2"/>
  <c r="O5" i="2"/>
  <c r="O4" i="2"/>
  <c r="I4" i="2"/>
  <c r="N4" i="2" s="1"/>
  <c r="H4" i="2"/>
  <c r="M4" i="2" s="1"/>
  <c r="P29" i="2"/>
  <c r="P28" i="2"/>
  <c r="P27" i="2"/>
  <c r="P26" i="2"/>
  <c r="P25" i="2"/>
  <c r="P24" i="2"/>
  <c r="P23" i="2"/>
  <c r="P22" i="2"/>
  <c r="P21" i="2"/>
  <c r="P20" i="2"/>
  <c r="P19" i="2"/>
  <c r="P18" i="2"/>
  <c r="P17" i="2"/>
  <c r="P16" i="2"/>
  <c r="P15" i="2"/>
  <c r="P14" i="2"/>
  <c r="P13" i="2"/>
  <c r="P12" i="2"/>
  <c r="P11" i="2"/>
  <c r="P10" i="2"/>
  <c r="P9" i="2"/>
  <c r="P8" i="2"/>
  <c r="P7" i="2"/>
  <c r="P6" i="2"/>
  <c r="P5" i="2"/>
  <c r="P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B4" i="2" a="1"/>
  <c r="B5" i="6" l="1" a="1"/>
  <c r="F2" i="2"/>
  <c r="B4" i="2"/>
  <c r="B5" i="6" l="1"/>
  <c r="D2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tc={E0BAFAB0-5953-4A4B-8123-5AC14A5E78AF}</author>
  </authors>
  <commentList>
    <comment ref="E3" authorId="0" shapeId="0" xr:uid="{E0BAFAB0-5953-4A4B-8123-5AC14A5E78AF}">
      <text>
        <t>[Threaded comment]
Your version of Excel allows you to read this threaded comment; however, any edits to it will get removed if the file is opened in a newer version of Excel. Learn more: https://go.microsoft.com/fwlink/?linkid=870924
Comment:
    Delete the values below to use this for your own cases!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tc={4448CBE8-136C-499B-B17F-6051A24EF45B}</author>
  </authors>
  <commentList>
    <comment ref="G4" authorId="0" shapeId="0" xr:uid="{4448CBE8-136C-499B-B17F-6051A24EF45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 useful outside of the case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tc={5BB1C296-50DD-47F5-AF56-921A37FD1A52}</author>
  </authors>
  <commentList>
    <comment ref="G4" authorId="0" shapeId="0" xr:uid="{5BB1C296-50DD-47F5-AF56-921A37FD1A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 useful outside of this case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tc={48D242D5-A4D4-484F-905E-CB50EA71B420}</author>
  </authors>
  <commentList>
    <comment ref="G4" authorId="0" shapeId="0" xr:uid="{48D242D5-A4D4-484F-905E-CB50EA71B42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 useful outside of this case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B08A3EC-78DF-41E3-AB82-7A406567997F}" keepAlive="1" name="Query - ActiveCases" description="Connection to the 'ActiveCases' query in the workbook." type="5" refreshedVersion="8" background="1" saveData="1">
    <dbPr connection="Provider=Microsoft.Mashup.OleDb.1;Data Source=$Workbook$;Location=ActiveCases;Extended Properties=&quot;&quot;" command="SELECT * FROM [ActiveCases]"/>
  </connection>
  <connection id="2" xr16:uid="{243E09E3-4798-4ABF-8EEC-82D37EDDC296}" keepAlive="1" name="Query - CaseList" description="Connection to the 'CaseList' query in the workbook." type="5" refreshedVersion="8" background="1" saveData="1">
    <dbPr connection="Provider=Microsoft.Mashup.OleDb.1;Data Source=$Workbook$;Location=CaseList;Extended Properties=&quot;&quot;" command="SELECT * FROM [CaseList]"/>
  </connection>
  <connection id="3" xr16:uid="{EF48C7FA-946F-4A1B-90AC-450E68C0B279}" keepAlive="1" name="Query - JaqCases" description="Connection to the 'JaqCases' query in the workbook." type="5" refreshedVersion="0" background="1">
    <dbPr connection="Provider=Microsoft.Mashup.OleDb.1;Data Source=$Workbook$;Location=JaqCases;Extended Properties=&quot;&quot;" command="SELECT * FROM [JaqCases]"/>
  </connection>
  <connection id="4" xr16:uid="{B2FDB990-9CB8-4B2D-AAFF-32C4B554F353}" keepAlive="1" name="Query - mapAccess" description="Connection to the 'mapAccess' query in the workbook." type="5" refreshedVersion="0" background="1">
    <dbPr connection="Provider=Microsoft.Mashup.OleDb.1;Data Source=$Workbook$;Location=mapAccess;Extended Properties=&quot;&quot;" command="SELECT * FROM [mapAccess]"/>
  </connection>
  <connection id="5" xr16:uid="{5875966A-618A-4000-A695-62582A5326EF}" keepAlive="1" name="Query - mapDifficulty" description="Connection to the 'mapDifficulty' query in the workbook." type="5" refreshedVersion="0" background="1">
    <dbPr connection="Provider=Microsoft.Mashup.OleDb.1;Data Source=$Workbook$;Location=mapDifficulty;Extended Properties=&quot;&quot;" command="SELECT * FROM [mapDifficulty]"/>
  </connection>
  <connection id="6" xr16:uid="{197471C2-214B-4750-BBA9-7AD1F65E39FB}" keepAlive="1" name="Query - Select_Your_Access" description="Connection to the 'Select_Your_Access' query in the workbook." type="5" refreshedVersion="0" background="1" saveData="1">
    <dbPr connection="Provider=Microsoft.Mashup.OleDb.1;Data Source=$Workbook$;Location=Select_Your_Access;Extended Properties=&quot;&quot;" command="SELECT * FROM [Select_Your_Access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<sst xmlns="http://schemas.openxmlformats.org/spreadsheetml/2006/main" count="1786" uniqueCount="450">
  <si>
    <t>Name</t>
  </si>
  <si>
    <t>Difficulty</t>
  </si>
  <si>
    <t>Origami</t>
  </si>
  <si>
    <t>Hard</t>
  </si>
  <si>
    <t>Axel the Elf’s Christmas Catastrophe</t>
  </si>
  <si>
    <t>Moderate</t>
  </si>
  <si>
    <t>The Toy Tycoon</t>
  </si>
  <si>
    <t>Easy</t>
  </si>
  <si>
    <t>Perfect Date and Soulmate</t>
  </si>
  <si>
    <t>What's My Flight Number?</t>
  </si>
  <si>
    <t>Excel Athlete Basics Revisited</t>
  </si>
  <si>
    <t>In Excel We Trust</t>
  </si>
  <si>
    <t>The Number 1 Fan (Part 1) 2023</t>
  </si>
  <si>
    <t>Deep Sea Diving</t>
  </si>
  <si>
    <t>Ship the World</t>
  </si>
  <si>
    <t>How To Win The Microsoft Excel World Championship</t>
  </si>
  <si>
    <t>VSTACK-Man</t>
  </si>
  <si>
    <t>Vlookie-teur</t>
  </si>
  <si>
    <t>Bushland Adventures</t>
  </si>
  <si>
    <t>Jumbled Jigsaws</t>
  </si>
  <si>
    <t>Mahjong Solitaire</t>
  </si>
  <si>
    <t>PipeMare</t>
  </si>
  <si>
    <t>The Number 1 Fan (Part 2) 2025</t>
  </si>
  <si>
    <t>Give Me a Hand</t>
  </si>
  <si>
    <t>Knife Thrower</t>
  </si>
  <si>
    <t>The Number 1 Fan (Part 1) 2025</t>
  </si>
  <si>
    <t>Kiwi Holiday</t>
  </si>
  <si>
    <t>The 24 Hours of Le MEWC</t>
  </si>
  <si>
    <t>It's Probably a Crab!</t>
  </si>
  <si>
    <t>Seamstress Fast</t>
  </si>
  <si>
    <t>Power Gaming!</t>
  </si>
  <si>
    <t>Bigger Portals</t>
  </si>
  <si>
    <t>Powerlifting</t>
  </si>
  <si>
    <t>Text Me Back</t>
  </si>
  <si>
    <t>Hopscotch</t>
  </si>
  <si>
    <t>Game of Life</t>
  </si>
  <si>
    <t>Table Soccer</t>
  </si>
  <si>
    <t>A Dicey Battle</t>
  </si>
  <si>
    <t>Excel Superheroes</t>
  </si>
  <si>
    <t>Potions Master</t>
  </si>
  <si>
    <t>Lumberjack</t>
  </si>
  <si>
    <t>Maze</t>
  </si>
  <si>
    <t>Chess with No Stress</t>
  </si>
  <si>
    <t>Tetris</t>
  </si>
  <si>
    <t>The Mzansi Hotel Group</t>
  </si>
  <si>
    <t>Clock Solitaire</t>
  </si>
  <si>
    <t>Steppies en Pofadders</t>
  </si>
  <si>
    <t>Snap!</t>
  </si>
  <si>
    <t>Watt The Pho</t>
  </si>
  <si>
    <t>A Licence on a Plate</t>
  </si>
  <si>
    <t>Bear Island</t>
  </si>
  <si>
    <t>Conversion Time</t>
  </si>
  <si>
    <t>Use Your Head</t>
  </si>
  <si>
    <t>Steyn City</t>
  </si>
  <si>
    <t>Rami à 1</t>
  </si>
  <si>
    <t>T-Maraina</t>
  </si>
  <si>
    <t>The Social Network</t>
  </si>
  <si>
    <t>Belote (FR)</t>
  </si>
  <si>
    <t>The Odds for Mr. Odd</t>
  </si>
  <si>
    <t>It's a Snake!</t>
  </si>
  <si>
    <t>Biathlon</t>
  </si>
  <si>
    <t>The Gambler</t>
  </si>
  <si>
    <t>Modelario, a Platform Game</t>
  </si>
  <si>
    <t>Very Hard</t>
  </si>
  <si>
    <t>Where's Wally</t>
  </si>
  <si>
    <t>Card Game</t>
  </si>
  <si>
    <t>Excelopolis</t>
  </si>
  <si>
    <t>Lottery</t>
  </si>
  <si>
    <t>The Number 1 Fan (Part 2) 2023</t>
  </si>
  <si>
    <t>Dominate the Dominoes</t>
  </si>
  <si>
    <t>Farming in the Land of Vines</t>
  </si>
  <si>
    <t>Board Game</t>
  </si>
  <si>
    <t>Choco-Late!</t>
  </si>
  <si>
    <t>Regatta</t>
  </si>
  <si>
    <t>Indexing the Mails</t>
  </si>
  <si>
    <t>A Story About the Reels</t>
  </si>
  <si>
    <t>Studying Season 2024</t>
  </si>
  <si>
    <t>Tug of War</t>
  </si>
  <si>
    <t>Grocery Store Cleanup</t>
  </si>
  <si>
    <t>Minesweeper</t>
  </si>
  <si>
    <t>Lana Goes Ice Skating</t>
  </si>
  <si>
    <t>Waterflow</t>
  </si>
  <si>
    <t>30 Minute Mystery</t>
  </si>
  <si>
    <t>Super Grand Master</t>
  </si>
  <si>
    <t>Tripeaks</t>
  </si>
  <si>
    <t>Knights and Warriors</t>
  </si>
  <si>
    <t>Battleship</t>
  </si>
  <si>
    <t>Mortal Wombat</t>
  </si>
  <si>
    <t>Fantasy Excel</t>
  </si>
  <si>
    <t>Exemons</t>
  </si>
  <si>
    <t>Run Forrest Run</t>
  </si>
  <si>
    <t>Letter Soup</t>
  </si>
  <si>
    <t>Painting Crews</t>
  </si>
  <si>
    <t>Square of Fortune</t>
  </si>
  <si>
    <t>Elimination Race to Las Vegas</t>
  </si>
  <si>
    <t>It's Bowling Time</t>
  </si>
  <si>
    <t>Share the Ride</t>
  </si>
  <si>
    <t>Strategic Choices</t>
  </si>
  <si>
    <t>It's a Sequence</t>
  </si>
  <si>
    <t>Hitchhiking Day</t>
  </si>
  <si>
    <t>Ludo</t>
  </si>
  <si>
    <t>Five Hundred</t>
  </si>
  <si>
    <t>Elections are Coming!</t>
  </si>
  <si>
    <t>Collect Them All!</t>
  </si>
  <si>
    <t>Euchre</t>
  </si>
  <si>
    <t>The Number 1 Fan (Part 2) 2022</t>
  </si>
  <si>
    <t>Flower Power</t>
  </si>
  <si>
    <t>Backgammon</t>
  </si>
  <si>
    <t>Kruger National Park</t>
  </si>
  <si>
    <t>Cribbage</t>
  </si>
  <si>
    <t>The Number 1 Fan (Part 1) 2024</t>
  </si>
  <si>
    <t>IsometriChaos</t>
  </si>
  <si>
    <t>The Number 1 Fan (Part 2) 2024</t>
  </si>
  <si>
    <t>The Number 1 Fan (Part 1) 2022</t>
  </si>
  <si>
    <t>Rugby World Cup 2023</t>
  </si>
  <si>
    <t>Pinball</t>
  </si>
  <si>
    <t>Battle Royal</t>
  </si>
  <si>
    <t>Wabble</t>
  </si>
  <si>
    <t>Lana Banana</t>
  </si>
  <si>
    <t>Othello</t>
  </si>
  <si>
    <t>EVE Online</t>
  </si>
  <si>
    <t>Whack-a-Mole</t>
  </si>
  <si>
    <t>World of Warcraft</t>
  </si>
  <si>
    <t>I am Left-Handed... Right?</t>
  </si>
  <si>
    <t>Almost There</t>
  </si>
  <si>
    <t>Laundry Time</t>
  </si>
  <si>
    <t>Vlookie the Gold Miner</t>
  </si>
  <si>
    <t>At the Races</t>
  </si>
  <si>
    <t>The Simple Case</t>
  </si>
  <si>
    <t>Ironman</t>
  </si>
  <si>
    <t>We're Not In Kansas Anymore</t>
  </si>
  <si>
    <t>Pass the Arrows</t>
  </si>
  <si>
    <t>Passing Notes</t>
  </si>
  <si>
    <t>American Bingo!</t>
  </si>
  <si>
    <t>The Numbers Game</t>
  </si>
  <si>
    <t>This Spreadsheet is a Nightmare</t>
  </si>
  <si>
    <t>Did You Get the Plates?</t>
  </si>
  <si>
    <t>Treasure Hunt</t>
  </si>
  <si>
    <t>Sommelier</t>
  </si>
  <si>
    <t>Census</t>
  </si>
  <si>
    <t>Doggie Daycare</t>
  </si>
  <si>
    <t>Sleep as a Sport</t>
  </si>
  <si>
    <t>Cricket Darts</t>
  </si>
  <si>
    <t>Temple of the Golden Idol</t>
  </si>
  <si>
    <t>Clash On Titan</t>
  </si>
  <si>
    <t>Portal</t>
  </si>
  <si>
    <t>Réunion: A Volcano Island</t>
  </si>
  <si>
    <t>Vatsy Tsinjo</t>
  </si>
  <si>
    <t>From Excel Pro…</t>
  </si>
  <si>
    <t>Dans La Poche</t>
  </si>
  <si>
    <t>Paint It Red</t>
  </si>
  <si>
    <t>... To Superhero</t>
  </si>
  <si>
    <t>Nakama Uprising</t>
  </si>
  <si>
    <t>5X</t>
  </si>
  <si>
    <t>Categories (City, Country, River)</t>
  </si>
  <si>
    <t>Climbing Mountains</t>
  </si>
  <si>
    <t>Underground Mining</t>
  </si>
  <si>
    <t>Mealprep 101</t>
  </si>
  <si>
    <t>Formula Fighters</t>
  </si>
  <si>
    <t>Easy As Pi</t>
  </si>
  <si>
    <t>So many Holidays</t>
  </si>
  <si>
    <t>Eggs &amp; Bunnies</t>
  </si>
  <si>
    <t>A Right Royal Battle (Part I)</t>
  </si>
  <si>
    <t>All Sausage</t>
  </si>
  <si>
    <t>A Right Royal Battle (Part II)</t>
  </si>
  <si>
    <t>We're Not In Kansas Anymore (MECC) - Varsity</t>
  </si>
  <si>
    <t>We're Not In Kansas Anymore (MECC) - Junior Varsity</t>
  </si>
  <si>
    <t>Lana On Holiday - UK &amp; Ireland Version</t>
  </si>
  <si>
    <t>All's Well That Ends Excel</t>
  </si>
  <si>
    <t>Malice In Wonderland</t>
  </si>
  <si>
    <t>The Many Maps of Merlin</t>
  </si>
  <si>
    <t>Ski Jumping</t>
  </si>
  <si>
    <t>The Humble MVP</t>
  </si>
  <si>
    <t>Bit of Music</t>
  </si>
  <si>
    <t>Lost Instructions</t>
  </si>
  <si>
    <t>Collecting Scarves</t>
  </si>
  <si>
    <t>The Formula Bar And Grill</t>
  </si>
  <si>
    <t>I'm Just Wild about Harry</t>
  </si>
  <si>
    <t>Whodunnit?</t>
  </si>
  <si>
    <t>Old Money</t>
  </si>
  <si>
    <t>Lana on Holiday - DACH Edition</t>
  </si>
  <si>
    <t>Actual used</t>
  </si>
  <si>
    <t>Random</t>
  </si>
  <si>
    <t>30m Score</t>
  </si>
  <si>
    <t>OA Robot
InstaSolve</t>
  </si>
  <si>
    <t>Full Score Time (m)</t>
  </si>
  <si>
    <t>Points</t>
  </si>
  <si>
    <t>30m Time</t>
  </si>
  <si>
    <t>Pts per min</t>
  </si>
  <si>
    <t>OA Robot
Commands</t>
  </si>
  <si>
    <t>Order</t>
  </si>
  <si>
    <t>Command</t>
  </si>
  <si>
    <t>Description</t>
  </si>
  <si>
    <t>Shortcut / Code</t>
  </si>
  <si>
    <t>Create Calc Sheet</t>
  </si>
  <si>
    <t>CCS</t>
  </si>
  <si>
    <t>Creates a blank Calculation sheet for calculations</t>
  </si>
  <si>
    <t>NRA</t>
  </si>
  <si>
    <t>Sets up named ranges explicitly for this file</t>
  </si>
  <si>
    <t>links to Game named range</t>
  </si>
  <si>
    <t>Command Collection</t>
  </si>
  <si>
    <t>A-ZTraining</t>
  </si>
  <si>
    <t>Remove Blank Rows and Columns</t>
  </si>
  <si>
    <t>RB</t>
  </si>
  <si>
    <t>Array Robot</t>
  </si>
  <si>
    <t>Removes the rows and columns that are blank or all zeroes</t>
  </si>
  <si>
    <t>Create Data Table from Array</t>
  </si>
  <si>
    <t>Creates a data table to the right of the selected array - assumes array has a header and first column is lookup</t>
  </si>
  <si>
    <t>Move Right 1</t>
  </si>
  <si>
    <t>Navigation only - moves a cell to the right</t>
  </si>
  <si>
    <t>Gets name of shape range from input array</t>
  </si>
  <si>
    <t>Indirect</t>
  </si>
  <si>
    <t>IND</t>
  </si>
  <si>
    <t>Gets indirect of current cell value</t>
  </si>
  <si>
    <t>1C</t>
  </si>
  <si>
    <t>Applies a TOCOL</t>
  </si>
  <si>
    <t>A - Get Range Name</t>
  </si>
  <si>
    <t>Duplicate Array to Right</t>
  </si>
  <si>
    <t>Ctrl-Shift-R</t>
  </si>
  <si>
    <t>Copies current array to the right</t>
  </si>
  <si>
    <t>Multiply Array by Left Most Array</t>
  </si>
  <si>
    <t>MAL</t>
  </si>
  <si>
    <t>Multiplies the current array with the left most array in the current cell region</t>
  </si>
  <si>
    <t>If Error Then Zero (0)</t>
  </si>
  <si>
    <t>E0</t>
  </si>
  <si>
    <t>Replaces errors with a 0</t>
  </si>
  <si>
    <t>M2U</t>
  </si>
  <si>
    <t>Finds XMATCH of values in current array with array 2 cells up (can be the spilled range)</t>
  </si>
  <si>
    <t>Max of Array</t>
  </si>
  <si>
    <t>MAX</t>
  </si>
  <si>
    <t>Returns the maximum value of the array</t>
  </si>
  <si>
    <t>XLOOKUP Value in Arrays to Left</t>
  </si>
  <si>
    <t>LL</t>
  </si>
  <si>
    <t>Looks up current cell value in array 1 cell to the left, returning values from array 2 cells to the left</t>
  </si>
  <si>
    <t>links to Bingo2 named range</t>
  </si>
  <si>
    <t>links to Bingo1 named range</t>
  </si>
  <si>
    <t>A - Calculations for Answer</t>
  </si>
  <si>
    <t>Sets up final calculation explicitly for this file</t>
  </si>
  <si>
    <t>Link Answer Cell</t>
  </si>
  <si>
    <t>ANS</t>
  </si>
  <si>
    <t>Links the data table ANSWER cell to the currently selected cell</t>
  </si>
  <si>
    <t>Case Specific</t>
  </si>
  <si>
    <t>Command Name</t>
  </si>
  <si>
    <t>Uses</t>
  </si>
  <si>
    <t>No</t>
  </si>
  <si>
    <t>A - Link to range Game</t>
  </si>
  <si>
    <t>A - Link to range Bingo1</t>
  </si>
  <si>
    <t>A - Link to range Bingo2</t>
  </si>
  <si>
    <t>DFR</t>
  </si>
  <si>
    <t>Copies formula in current cell to the right as exact formula (arrays only)</t>
  </si>
  <si>
    <t>DTA</t>
  </si>
  <si>
    <t>Get Array 2 Up</t>
  </si>
  <si>
    <t>A2U</t>
  </si>
  <si>
    <t>Gets the array which spills into the cell 2 directly up from the active cell</t>
  </si>
  <si>
    <t>Move Left 1</t>
  </si>
  <si>
    <t>Navigation only - moves a cell to the left</t>
  </si>
  <si>
    <t>Reshape to One (1) Column</t>
  </si>
  <si>
    <t>XMATCH with Array 2 Rows Up</t>
  </si>
  <si>
    <t>A - Name Ranges: American Bingo</t>
  </si>
  <si>
    <t>What Am I Doing?</t>
  </si>
  <si>
    <t>I have set myself an A-Z training challenge, covering a random case starting with each letter (from those available to me on play.excel-esports.com). For each case I am doing the following:</t>
  </si>
  <si>
    <t>1. Try the case timed for 30m and record my score</t>
  </si>
  <si>
    <t>2. Try the case again from start to finish and record my time (if step 1 is under 30m, skip this)</t>
  </si>
  <si>
    <t>3. Devise an OA robot only solution to practice commands and create new ones</t>
  </si>
  <si>
    <t>4. Post my OA Robot solve and record my time</t>
  </si>
  <si>
    <t>5. Do a special case "InstaSolve" using OA Robot and record my time*</t>
  </si>
  <si>
    <t>6. Randomly select my next case for my next challenge</t>
  </si>
  <si>
    <t>The latest version of this file "A-Ztraining.xlsm" will be linked to below my videos so you can test it out yourself</t>
  </si>
  <si>
    <t>* This may be very fast, but is built off the back of hours of setup work. I can't do this IRL with a fresh case!!!</t>
  </si>
  <si>
    <t>Duplicate Formula to Right</t>
  </si>
  <si>
    <t>Command Leaderboard</t>
  </si>
  <si>
    <t>There is no Z! The Z is a lie!</t>
  </si>
  <si>
    <t>Author</t>
  </si>
  <si>
    <t>Tags</t>
  </si>
  <si>
    <t>AccessLevelRequired</t>
  </si>
  <si>
    <t>Julien Lacaze</t>
  </si>
  <si>
    <t>2024,MEWC,Julien Lacaze</t>
  </si>
  <si>
    <t>Grayson Huynh</t>
  </si>
  <si>
    <t>2024,MEWC,Grayson Huynh</t>
  </si>
  <si>
    <t>Harry Gross</t>
  </si>
  <si>
    <t>2024,MEWC,Harry Gross</t>
  </si>
  <si>
    <t>Brian Wright</t>
  </si>
  <si>
    <t>2024,MEWC,Brian Wright</t>
  </si>
  <si>
    <t>Harry Seiders</t>
  </si>
  <si>
    <t>2023,MEWC,Harry Seiders</t>
  </si>
  <si>
    <t>2024,MEWC,Harry Seiders</t>
  </si>
  <si>
    <t>David Brown</t>
  </si>
  <si>
    <t>2024,RTLV,David Brown</t>
  </si>
  <si>
    <t>Harry Watson</t>
  </si>
  <si>
    <t>2024,RTLV,Harry Watson</t>
  </si>
  <si>
    <t>Peter Scharl</t>
  </si>
  <si>
    <t>2024,RTLV,Peter Scharl</t>
  </si>
  <si>
    <t>Benjamin Weber</t>
  </si>
  <si>
    <t>2024,RTLV,Benjamin Weber</t>
  </si>
  <si>
    <t>Nick Boberg</t>
  </si>
  <si>
    <t>2024,RTLV,Nick Boberg</t>
  </si>
  <si>
    <t>Klinsmann Langhanz</t>
  </si>
  <si>
    <t>2024,Klinsmann Langhanz,FMWC Brasil</t>
  </si>
  <si>
    <t>2024,RTLV,Harry Seiders</t>
  </si>
  <si>
    <t>2025,Benjamin Weber,FMWC DACH</t>
  </si>
  <si>
    <t>Andrew Grigolyunovich</t>
  </si>
  <si>
    <t>2023,MEWC,Andrew Grigolyunovich</t>
  </si>
  <si>
    <t>2021,Andrew Grigolyunovich,Battle of 16</t>
  </si>
  <si>
    <t>2025,Harry Watson,FMWC UK</t>
  </si>
  <si>
    <t>Willem Gerritsen</t>
  </si>
  <si>
    <t>2022,MEWC,Willem Gerritsen</t>
  </si>
  <si>
    <t>2023,MEWC,Peter Scharl</t>
  </si>
  <si>
    <t>2025,RTLV,Harry Seiders</t>
  </si>
  <si>
    <t>2025,RTLV,Harry Gross</t>
  </si>
  <si>
    <t>2025,RTLV,Harry Watson</t>
  </si>
  <si>
    <t>Coby Dombrowksy</t>
  </si>
  <si>
    <t>2025,Coby Dombrowsky,MEWC</t>
  </si>
  <si>
    <t>2024,MEWC,Nick Boberg</t>
  </si>
  <si>
    <t>Anders Richter Lindén</t>
  </si>
  <si>
    <t>2025,Anders Richter Lindén,MEWC</t>
  </si>
  <si>
    <t>Michael Jarman</t>
  </si>
  <si>
    <t>2024,RTLV,Michael Jarman</t>
  </si>
  <si>
    <t>James Curtis</t>
  </si>
  <si>
    <t>2023,RTLV,James Curtis</t>
  </si>
  <si>
    <t>2023,RTLV,Peter Scharl</t>
  </si>
  <si>
    <t>Emils Saulitis</t>
  </si>
  <si>
    <t>2024,RTLV,Emils Saulitis</t>
  </si>
  <si>
    <t>2025,RTLV,Brian Wright</t>
  </si>
  <si>
    <t>2025,RTLV,Benjamin Weber</t>
  </si>
  <si>
    <t>2025,RTLV,Peter Scharl</t>
  </si>
  <si>
    <t>2024,RTLV,Klinsmann Langhanz</t>
  </si>
  <si>
    <t>2025,RTLV,Julien Lacaze</t>
  </si>
  <si>
    <t>David Fortin, Andrew Grigolyunovich</t>
  </si>
  <si>
    <t>2024,MEWC,David Fortin,Andrew Grigolyunovich</t>
  </si>
  <si>
    <t>2023,Peter Scharl,RTLV</t>
  </si>
  <si>
    <t>Giles Male</t>
  </si>
  <si>
    <t>2025,Giles Male,FMWC UK</t>
  </si>
  <si>
    <t>Niels Terfehr</t>
  </si>
  <si>
    <t>2023,MEWC,Niels Terfehr</t>
  </si>
  <si>
    <t>Diarmuid Early</t>
  </si>
  <si>
    <t>2022,MEWC,Diarmuid Early</t>
  </si>
  <si>
    <t>Hadyn Wiseman</t>
  </si>
  <si>
    <t>2025,Hadyn Wiseman,MEWC</t>
  </si>
  <si>
    <t>2023,MEWC,Harry Gross</t>
  </si>
  <si>
    <t>2025,Anders Richter Lindén,Other</t>
  </si>
  <si>
    <t>2024,MEWC,Harry Watson</t>
  </si>
  <si>
    <t>2023,RTLV,Harry Seiders</t>
  </si>
  <si>
    <t>2024,FMWC Brasil,Klinsmann Langhanz</t>
  </si>
  <si>
    <t>Andrew Gigolyunovich</t>
  </si>
  <si>
    <t>Renier Wessels</t>
  </si>
  <si>
    <t>2024,Renier Wessels,FMWC South Africa</t>
  </si>
  <si>
    <t>2022,MEWC,Andrew Grigolyunovich</t>
  </si>
  <si>
    <t>2024,MEWC,Andrew Grigolyunovich</t>
  </si>
  <si>
    <t>2024,MEWC,Klinsmann Langhanz</t>
  </si>
  <si>
    <t>Dan Mayoh</t>
  </si>
  <si>
    <t>2023,Dan Mayoh,MEWC</t>
  </si>
  <si>
    <t>2025,Grayson Huynh,MEWC</t>
  </si>
  <si>
    <t>Lianna Gerish</t>
  </si>
  <si>
    <t>2022,MEWC,Lianna Gerish</t>
  </si>
  <si>
    <t>2022,MEWC,Renier Wessels</t>
  </si>
  <si>
    <t>Tim Heng</t>
  </si>
  <si>
    <t>2022,MEWC,Tim Heng</t>
  </si>
  <si>
    <t>Juan José Cifuentes</t>
  </si>
  <si>
    <t>2025,Juan José Cifuentes,MEWC</t>
  </si>
  <si>
    <t>Patrick Chatain</t>
  </si>
  <si>
    <t>2023,RTLV,Patrick Chatain</t>
  </si>
  <si>
    <t>2025,Peter Scharl,MEWC</t>
  </si>
  <si>
    <t>2025,Nick Boberg,MEWC</t>
  </si>
  <si>
    <t>2022,Andrew Grigolyunovich,Global Excel Summit</t>
  </si>
  <si>
    <t>2022,Andrew Grigolyunovich,Continent Battles</t>
  </si>
  <si>
    <t>2021,Andrew Gigolyunovich,FMWC Open</t>
  </si>
  <si>
    <t>It’s Bowling Time</t>
  </si>
  <si>
    <t>2023,Andrew Grigolyunovich,FMWC Grand Prix</t>
  </si>
  <si>
    <t>Joseph Palisoc</t>
  </si>
  <si>
    <t>2022,Joseph Palisoc,Global Excel Summit</t>
  </si>
  <si>
    <t>Klinsmann Langhanz, Peter Scharl</t>
  </si>
  <si>
    <t>2024,Klinsmann Langhanz,Peter Scharl,FMWC Brasil</t>
  </si>
  <si>
    <t>Klinsmann Langhanz, Diarmuid Early</t>
  </si>
  <si>
    <t>2024,Klinsmann Langhanz,Diarmuid Early,FMWC Brasil</t>
  </si>
  <si>
    <t>Ny Tsiory Rakotonanahary</t>
  </si>
  <si>
    <t>2024,Ny Tsiory Rakotonanahary,FMWC Madagascar</t>
  </si>
  <si>
    <t>Vincent Morin</t>
  </si>
  <si>
    <t>2025,Vincent Morin,MEWC</t>
  </si>
  <si>
    <t>2025,Nick Boberg,RTLV</t>
  </si>
  <si>
    <t>2025,Andrew Grigolyunovich,MEWC</t>
  </si>
  <si>
    <t>2021,Andrew Grigolyunovich,FMWC Open</t>
  </si>
  <si>
    <t>2024,Peter Scharl,MEWC</t>
  </si>
  <si>
    <t>Klinsmann Langhanz, Andrew Grigolyunovich</t>
  </si>
  <si>
    <t>2024,Klinsmann Langhanz,Andrew Grigolyunovich,FMWC Brasil</t>
  </si>
  <si>
    <t>Mikoja Rakotoalisoa</t>
  </si>
  <si>
    <t>2025,Mikoja Rakotoalisoa,MEWC</t>
  </si>
  <si>
    <t>2022,Andrew Grigolyunovich,All Star Battle</t>
  </si>
  <si>
    <t>Tim Froelich</t>
  </si>
  <si>
    <t>2025,Tim Froelich,MEWC</t>
  </si>
  <si>
    <t>Elliott Paterson</t>
  </si>
  <si>
    <t>2025,Elliott Paterson,FMWC UK</t>
  </si>
  <si>
    <t>Steyn Wolmarans</t>
  </si>
  <si>
    <t>2024,Steyn Wolmarans,FMWC South Africa</t>
  </si>
  <si>
    <t>2023,MEWC,Andrew Grigolyunovic</t>
  </si>
  <si>
    <t>2022,Andrew Grigolyunovich,Women's Battle</t>
  </si>
  <si>
    <t>2025,Harry Gross,FMWC UK</t>
  </si>
  <si>
    <t>Harry Gross, Diarmuid Early</t>
  </si>
  <si>
    <t>2025,Harry Gross,Diarmuid Early,FMWC UK</t>
  </si>
  <si>
    <t>2025,Benjamin Weber,FMWC UK</t>
  </si>
  <si>
    <t>2024,Ny Tsiory Rakotonanahary,FMWC Madagascar,French</t>
  </si>
  <si>
    <t>2025,Harry Gross,MECC</t>
  </si>
  <si>
    <t>2022,MEWC,Harry Gross</t>
  </si>
  <si>
    <t>2025,Juan José Cifuentes,RTLV</t>
  </si>
  <si>
    <t>2023,Steyn Wolmarans,FMWC South Africa</t>
  </si>
  <si>
    <t>Tafita Rakotondrafara</t>
  </si>
  <si>
    <t>2024,Tafita Rakotondrafara,FMWC Madagascar</t>
  </si>
  <si>
    <t>2025,Andrew Grigolyunovich,Other</t>
  </si>
  <si>
    <t>2023,Renier Wessels,FMWC South Africa</t>
  </si>
  <si>
    <t>Jason Webber</t>
  </si>
  <si>
    <t>2023,Jason Webber,FMWC South Africa</t>
  </si>
  <si>
    <t>2025,FMWC UK,Harry Watson</t>
  </si>
  <si>
    <t>2021,Dan Mayoh,Battle of 16</t>
  </si>
  <si>
    <t>2022,MEWC,Joseph Palisoc</t>
  </si>
  <si>
    <t>2025,MEWC,Andrew Grigolyunovich</t>
  </si>
  <si>
    <t>2025,MEWC,Harry Gross</t>
  </si>
  <si>
    <t>2024,MEWC,James Curtis</t>
  </si>
  <si>
    <t>2025,MEWC,Nick Boberg</t>
  </si>
  <si>
    <t>Coby Dombrowsky</t>
  </si>
  <si>
    <t>2025,MEWC,Coby Dombrowsky</t>
  </si>
  <si>
    <t>2025,MEWC,Klinsmann Langhanz</t>
  </si>
  <si>
    <t>2023,Peter Scharl,MEWC</t>
  </si>
  <si>
    <t>2022,MEWC,Michael Jarman</t>
  </si>
  <si>
    <t>2023,RTLV,Andrew Grigolyunovich</t>
  </si>
  <si>
    <t>Jean Wolleh</t>
  </si>
  <si>
    <t>2025,Jean Wolleh,FMWC DACH</t>
  </si>
  <si>
    <t>Julian Pöltl</t>
  </si>
  <si>
    <t>2025,Julian Pöltl,FMWC DACH</t>
  </si>
  <si>
    <t>2026,Diarmuid Early,RTLV</t>
  </si>
  <si>
    <t>2025,Ny Tsiory Rakotonanahary,FMWC Madagascar</t>
  </si>
  <si>
    <t>2025,Ny Tsiory Rakotonanahary,MEWC Madagascar</t>
  </si>
  <si>
    <t>2024,Jason Webber,FMWC South Africa</t>
  </si>
  <si>
    <t>💩Head</t>
  </si>
  <si>
    <t>Karim Awenat</t>
  </si>
  <si>
    <t>2026,Karim Awenat,</t>
  </si>
  <si>
    <t>Memory Game</t>
  </si>
  <si>
    <t>2026,RLTV,Emils Saulitis</t>
  </si>
  <si>
    <t>Jaq's Cases</t>
  </si>
  <si>
    <t>Difficult Map</t>
  </si>
  <si>
    <t>Access Map</t>
  </si>
  <si>
    <t>Code</t>
  </si>
  <si>
    <t>Value</t>
  </si>
  <si>
    <t>Free</t>
  </si>
  <si>
    <t>Excel Pro</t>
  </si>
  <si>
    <t>Excel Guru</t>
  </si>
  <si>
    <t>Select Your Access</t>
  </si>
  <si>
    <t>Jaq</t>
  </si>
  <si>
    <t/>
  </si>
  <si>
    <t>Access</t>
  </si>
  <si>
    <t>Access Level</t>
  </si>
  <si>
    <t>Right-click and refresh table after update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</si>
</sst>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"/>
  </numFmts>
  <fonts count="5" x14ac:knownFonts="1">
    <font>
      <sz val="14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3"/>
      <name val="Aptos Narrow"/>
      <family val="2"/>
      <scheme val="minor"/>
    </font>
    <font>
      <sz val="14"/>
      <color rgb="FF0000FF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14">
    <xf numFmtId="0" fontId="0" fillId="0" borderId="0" xfId="0"/>
    <xf numFmtId="0" fontId="2" fillId="0" borderId="0" xfId="0" applyFont="1"/>
    <xf numFmtId="164" fontId="0" fillId="0" borderId="0" xfId="0" applyNumberFormat="1"/>
    <xf numFmtId="0" fontId="2" fillId="0" borderId="0" xfId="0" applyFont="1" applyAlignment="1">
      <alignment wrapText="1"/>
    </xf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1" fillId="0" borderId="1" xfId="1" applyAlignment="1">
      <alignment horizontal="centerContinuous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1" xfId="1" applyFont="1" applyAlignment="1">
      <alignment horizontal="centerContinuous"/>
    </xf>
    <xf numFmtId="0" fontId="2" fillId="0" borderId="0" xfId="0" applyFont="1" applyAlignment="1">
      <alignment horizontal="right"/>
    </xf>
    <xf numFmtId="0" fontId="4" fillId="2" borderId="2" xfId="0" applyFont="1" applyFill="1" applyBorder="1"/>
    <xf numFmtId="0" fontId="0" fillId="0" borderId="0" xfId="0" applyAlignment="1">
      <alignment horizontal="center" wrapText="1"/>
    </xf>
  </cellXfs>
  <cellStyles count="2">
    <cellStyle name="Heading 1" xfId="1" builtinId="16"/>
    <cellStyle name="Normal" xfId="0" builtinId="0"/>
  </cellStyles>
  <dxfs count="9">
    <dxf>
      <font>
        <strike/>
        <color theme="1" tint="0.34998626667073579"/>
      </font>
      <fill>
        <patternFill>
          <bgColor theme="0" tint="-0.2499465926084170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numFmt numFmtId="0" formatCode="General"/>
    </dxf>
  </dxfs>
  <tableStyles count="1" defaultTableStyle="TableStyleMedium2" defaultPivotStyle="PivotStyleLight16">
    <tableStyle name="Invisible" pivot="0" table="0" count="0" xr9:uid="{053A9BD3-1151-4D91-86B4-01875FFCA68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10/relationships/person" Target="persons/person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tyles" Target="styles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22/11/relationships/FeaturePropertyBag" Target="featurePropertyBag/featurePropertyBag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94320</xdr:colOff>
      <xdr:row>9</xdr:row>
      <xdr:rowOff>38100</xdr:rowOff>
    </xdr:from>
    <xdr:to>
      <xdr:col>10</xdr:col>
      <xdr:colOff>696254</xdr:colOff>
      <xdr:row>12</xdr:row>
      <xdr:rowOff>40969</xdr:rowOff>
    </xdr:to>
    <xdr:pic>
      <xdr:nvPicPr>
        <xdr:cNvPr id="2" name="Robot Sticker">
          <a:extLst>
            <a:ext uri="{FF2B5EF4-FFF2-40B4-BE49-F238E27FC236}">
              <a16:creationId xmlns:a16="http://schemas.microsoft.com/office/drawing/2014/main" id="{91742541-1049-43A0-8E80-C98AA62E0B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47674" y="2449551"/>
          <a:ext cx="1438275" cy="71375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630650</xdr:colOff>
      <xdr:row>1</xdr:row>
      <xdr:rowOff>66675</xdr:rowOff>
    </xdr:from>
    <xdr:to>
      <xdr:col>4</xdr:col>
      <xdr:colOff>3915166</xdr:colOff>
      <xdr:row>1</xdr:row>
      <xdr:rowOff>445220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AA06315-00D9-B96A-EE7D-16121E737BF5}"/>
            </a:ext>
          </a:extLst>
        </xdr:cNvPr>
        <xdr:cNvGrpSpPr/>
      </xdr:nvGrpSpPr>
      <xdr:grpSpPr>
        <a:xfrm>
          <a:off x="5334535" y="198560"/>
          <a:ext cx="4017208" cy="378545"/>
          <a:chOff x="5334232" y="204149"/>
          <a:chExt cx="4020986" cy="378545"/>
        </a:xfrm>
      </xdr:grpSpPr>
      <xdr:pic>
        <xdr:nvPicPr>
          <xdr:cNvPr id="3" name="Picture 2" descr="Click Here for a Random Case">
            <a:extLst>
              <a:ext uri="{FF2B5EF4-FFF2-40B4-BE49-F238E27FC236}">
                <a16:creationId xmlns:a16="http://schemas.microsoft.com/office/drawing/2014/main" id="{0BAAE714-2424-2343-FFAB-8E7864524C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334232" y="204149"/>
            <a:ext cx="4020986" cy="378545"/>
          </a:xfrm>
          <a:prstGeom prst="rect">
            <a:avLst/>
          </a:prstGeom>
          <a:solidFill>
            <a:srgbClr val="000000">
              <a:shade val="95000"/>
            </a:srgbClr>
          </a:solidFill>
          <a:ln w="28575" cap="sq">
            <a:solidFill>
              <a:srgbClr val="000000"/>
            </a:solidFill>
            <a:miter lim="800000"/>
          </a:ln>
          <a:effectLst>
            <a:outerShdw blurRad="254000" dist="190500" dir="2700000" sy="90000" algn="bl" rotWithShape="0">
              <a:srgbClr val="000000">
                <a:alpha val="40000"/>
              </a:srgbClr>
            </a:outerShdw>
          </a:effectLst>
        </xdr:spPr>
      </xdr:pic>
      <xdr:sp macro="[0]!GetNextCase" textlink="">
        <xdr:nvSpPr>
          <xdr:cNvPr id="4" name="TextBox 3">
            <a:extLst>
              <a:ext uri="{FF2B5EF4-FFF2-40B4-BE49-F238E27FC236}">
                <a16:creationId xmlns:a16="http://schemas.microsoft.com/office/drawing/2014/main" id="{796B2A36-2A91-DED9-9EF1-35D6E4E7CBC2}"/>
              </a:ext>
            </a:extLst>
          </xdr:cNvPr>
          <xdr:cNvSpPr txBox="1"/>
        </xdr:nvSpPr>
        <xdr:spPr>
          <a:xfrm>
            <a:off x="5343760" y="213613"/>
            <a:ext cx="4001929" cy="3596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2400">
                <a:ln>
                  <a:solidFill>
                    <a:schemeClr val="tx1"/>
                  </a:solidFill>
                </a:ln>
                <a:solidFill>
                  <a:schemeClr val="bg1"/>
                </a:solidFill>
                <a:latin typeface="Aptos Black" panose="020B0004020202020204" pitchFamily="34" charset="0"/>
              </a:rPr>
              <a:t>Click for Random Case</a:t>
            </a:r>
          </a:p>
        </xdr:txBody>
      </xdr:sp>
    </xdr:grp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>
  <person displayName="Jaq Kennedy" id="{4D5F19F9-F132-4C8D-A642-04E81CCE8911}" userId="534e1f3e8d9cda95" providerId="Windows Live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6F1ACC41-92B9-4391-9208-D36A72D8283F}" autoFormatId="16" applyNumberFormats="0" applyBorderFormats="0" applyFontFormats="0" applyPatternFormats="0" applyAlignmentFormats="0" applyWidthHeightFormats="0">
  <queryTableRefresh nextId="6">
    <queryTableFields count="5">
      <queryTableField id="1" name="Name" tableColumnId="1"/>
      <queryTableField id="2" name="Author" tableColumnId="2"/>
      <queryTableField id="3" name="Tags" tableColumnId="3"/>
      <queryTableField id="4" name="Difficulty" tableColumnId="4"/>
      <queryTableField id="5" name="AccessLevelRequired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04B6E0D7-F3A5-4C2C-A396-EE9CE22ED37D}" autoFormatId="16" applyNumberFormats="0" applyBorderFormats="0" applyFontFormats="0" applyPatternFormats="0" applyAlignmentFormats="0" applyWidthHeightFormats="0">
  <queryTableRefresh nextId="9">
    <queryTableFields count="6">
      <queryTableField id="1" name="Name" tableColumnId="1"/>
      <queryTableField id="2" name="Author" tableColumnId="2"/>
      <queryTableField id="3" name="Tags" tableColumnId="3"/>
      <queryTableField id="5" name="Difficulty" tableColumnId="5"/>
      <queryTableField id="7" name="Access Level" tableColumnId="7"/>
      <queryTableField id="6" name="Access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7D972D6-DFF1-4C53-8AD6-3616452E54DC}" name="ActiveCases" displayName="ActiveCases" ref="B2:F179" tableType="queryTable" totalsRowShown="0">
  <autoFilter ref="B2:F179" xr:uid="{17D972D6-DFF1-4C53-8AD6-3616452E54DC}"/>
  <tableColumns count="5">
    <tableColumn id="1" xr3:uid="{0AAECFEC-F598-4B81-8CD0-C711A36E3211}" uniqueName="1" name="Name" queryTableFieldId="1"/>
    <tableColumn id="2" xr3:uid="{23FBB3E2-DD29-4C40-A871-C09DF5B29B8C}" uniqueName="2" name="Author" queryTableFieldId="2"/>
    <tableColumn id="3" xr3:uid="{F7DB56DC-39D6-4787-BBB6-16795AD4C1D8}" uniqueName="3" name="Tags" queryTableFieldId="3" dataDxfId="8"/>
    <tableColumn id="4" xr3:uid="{AA3F14DF-33C8-473E-AD74-05EF162C0640}" uniqueName="4" name="Difficulty" queryTableFieldId="4"/>
    <tableColumn id="5" xr3:uid="{B69A0CF2-72B4-4534-90F9-311A69BAC934}" uniqueName="5" name="AccessLevelRequired" queryTableField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61462B0-8493-4FF3-8579-2EF117472980}" name="JaqCases" displayName="JaqCases" ref="I2:I130" totalsRowShown="0" headerRowDxfId="7">
  <autoFilter ref="I2:I130" xr:uid="{261462B0-8493-4FF3-8579-2EF117472980}"/>
  <sortState xmlns:xlrd2="http://schemas.microsoft.com/office/spreadsheetml/2017/richdata2" ref="I3:I130">
    <sortCondition ref="I3:I130"/>
  </sortState>
  <tableColumns count="1">
    <tableColumn id="1" xr3:uid="{56DC40DD-BE8E-4BA0-82F8-CBC82E8CB744}" name="Jaq's Case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B4B0FB5-1E42-4C94-A004-E00C09399100}" name="mapDifficulty" displayName="mapDifficulty" ref="K2:L6" totalsRowShown="0">
  <autoFilter ref="K2:L6" xr:uid="{FB4B0FB5-1E42-4C94-A004-E00C09399100}"/>
  <tableColumns count="2">
    <tableColumn id="1" xr3:uid="{A511B5DC-AFF8-4A01-95C9-F244F9654302}" name="Code"/>
    <tableColumn id="2" xr3:uid="{A4A25EF9-DD6D-4BFF-A6B4-2A129B607228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3F21ED8-8B2C-4BA7-AA00-FE4BDDFE2C39}" name="mapAccess" displayName="mapAccess" ref="N2:O5" totalsRowShown="0">
  <autoFilter ref="N2:O5" xr:uid="{B3F21ED8-8B2C-4BA7-AA00-FE4BDDFE2C39}"/>
  <tableColumns count="2">
    <tableColumn id="1" xr3:uid="{992B5F16-785C-4BE0-BC74-B7997B4D2331}" name="Code"/>
    <tableColumn id="2" xr3:uid="{53E2A389-4E1C-4E32-ACA3-51EC8BAB585B}" name="Valu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DD7086D-6EB5-49CD-B761-370DB20646FF}" name="CaseList" displayName="CaseList" ref="B4:G181" tableType="queryTable" totalsRowShown="0">
  <autoFilter ref="B4:G181" xr:uid="{ADD7086D-6EB5-49CD-B761-370DB20646FF}"/>
  <tableColumns count="6">
    <tableColumn id="1" xr3:uid="{55C7217F-D52D-4B2C-90E7-B24D434DEB35}" uniqueName="1" name="Name" queryTableFieldId="1" dataDxfId="6"/>
    <tableColumn id="2" xr3:uid="{8C41EFC8-9F30-4A61-8F20-EF1C409955F3}" uniqueName="2" name="Author" queryTableFieldId="2" dataDxfId="5"/>
    <tableColumn id="3" xr3:uid="{61F1AD8D-87AD-422F-8749-DCF6CC26A02F}" uniqueName="3" name="Tags" queryTableFieldId="3" dataDxfId="4"/>
    <tableColumn id="5" xr3:uid="{567964D1-A35D-4275-8912-97C30DB7A5D3}" uniqueName="5" name="Difficulty" queryTableFieldId="5" dataDxfId="3"/>
    <tableColumn id="7" xr3:uid="{8453C173-0058-4EB6-977E-0D93D25526FA}" uniqueName="7" name="Access Level" queryTableFieldId="7" dataDxfId="2"/>
    <tableColumn id="6" xr3:uid="{5016F48A-3D6E-4108-BCCB-581E9D820A5B}" uniqueName="6" name="Access" queryTableFieldId="6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3" dT="2026-03-01T21:13:03.57" personId="{4D5F19F9-F132-4C8D-A642-04E81CCE8911}" id="{E0BAFAB0-5953-4A4B-8123-5AC14A5E78AF}">
    <text>Delete the values below to use this for your own cases!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4" dT="2026-03-01T20:32:20.60" personId="{4D5F19F9-F132-4C8D-A642-04E81CCE8911}" id="{4448CBE8-136C-499B-B17F-6051A24EF45B}">
    <text>Not useful outside of the case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4" dT="2026-03-01T20:32:20.60" personId="{4D5F19F9-F132-4C8D-A642-04E81CCE8911}" id="{5BB1C296-50DD-47F5-AF56-921A37FD1A52}">
    <text>Not useful outside of this case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4" dT="2026-03-01T20:32:20.60" personId="{4D5F19F9-F132-4C8D-A642-04E81CCE8911}" id="{48D242D5-A4D4-484F-905E-CB50EA71B420}">
    <text>Not useful outside of this case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microsoft.com/office/2017/10/relationships/threadedComment" Target="../threadedComments/threadedComment1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4.xml"/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33A58-29B7-42E1-A91D-4C73C61891C5}">
  <sheetPr codeName="Sheet6"/>
  <dimension ref="B2:K15"/>
  <sheetViews>
    <sheetView showGridLines="0" tabSelected="1" zoomScale="205" zoomScaleNormal="205" workbookViewId="0">
      <pane ySplit="2" topLeftCell="A3" activePane="bottomLeft" state="frozenSplit"/>
      <selection pane="bottomLeft"/>
    </sheetView>
  </sheetViews>
  <sheetFormatPr defaultRowHeight="18.75" x14ac:dyDescent="0.3"/>
  <cols>
    <col min="1" max="1" width="1.69921875" customWidth="1"/>
  </cols>
  <sheetData>
    <row r="2" spans="2:11" ht="20.25" thickBot="1" x14ac:dyDescent="0.35">
      <c r="B2" s="6" t="s">
        <v>259</v>
      </c>
      <c r="C2" s="6"/>
      <c r="D2" s="6"/>
      <c r="E2" s="6"/>
      <c r="F2" s="6"/>
      <c r="G2" s="6"/>
      <c r="H2" s="6"/>
      <c r="I2" s="6"/>
      <c r="J2" s="6"/>
      <c r="K2" s="6"/>
    </row>
    <row r="3" spans="2:11" ht="19.5" thickTop="1" x14ac:dyDescent="0.3"/>
    <row r="4" spans="2:11" ht="38.25" customHeight="1" x14ac:dyDescent="0.3">
      <c r="B4" s="13" t="s">
        <v>260</v>
      </c>
      <c r="C4" s="13"/>
      <c r="D4" s="13"/>
      <c r="E4" s="13"/>
      <c r="F4" s="13"/>
      <c r="G4" s="13"/>
      <c r="H4" s="13"/>
      <c r="I4" s="13"/>
      <c r="J4" s="13"/>
    </row>
    <row r="6" spans="2:11" x14ac:dyDescent="0.3">
      <c r="C6" t="s">
        <v>261</v>
      </c>
    </row>
    <row r="7" spans="2:11" x14ac:dyDescent="0.3">
      <c r="C7" t="s">
        <v>262</v>
      </c>
    </row>
    <row r="8" spans="2:11" x14ac:dyDescent="0.3">
      <c r="C8" t="s">
        <v>263</v>
      </c>
    </row>
    <row r="9" spans="2:11" x14ac:dyDescent="0.3">
      <c r="C9" t="s">
        <v>264</v>
      </c>
    </row>
    <row r="10" spans="2:11" x14ac:dyDescent="0.3">
      <c r="C10" t="s">
        <v>265</v>
      </c>
    </row>
    <row r="11" spans="2:11" x14ac:dyDescent="0.3">
      <c r="C11" t="s">
        <v>266</v>
      </c>
    </row>
    <row r="13" spans="2:11" x14ac:dyDescent="0.3">
      <c r="B13" t="s">
        <v>268</v>
      </c>
    </row>
    <row r="15" spans="2:11" x14ac:dyDescent="0.3">
      <c r="B15" t="s">
        <v>267</v>
      </c>
    </row>
  </sheetData>
  <mergeCells count="1">
    <mergeCell ref="B4:J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D0D5A-AF01-4131-889B-5E15C708C3E2}">
  <sheetPr codeName="Sheet7"/>
  <dimension ref="B1:O179"/>
  <sheetViews>
    <sheetView showGridLines="0" zoomScale="55" zoomScaleNormal="55" workbookViewId="0"/>
  </sheetViews>
  <sheetFormatPr defaultRowHeight="18.75" x14ac:dyDescent="0.3"/>
  <cols>
    <col min="2" max="2" width="46.296875" bestFit="1" customWidth="1"/>
    <col min="3" max="3" width="40.09765625" bestFit="1" customWidth="1"/>
    <col min="4" max="4" width="56.296875" bestFit="1" customWidth="1"/>
    <col min="5" max="5" width="10.5" bestFit="1" customWidth="1"/>
    <col min="6" max="6" width="24.09765625" bestFit="1" customWidth="1"/>
    <col min="9" max="9" width="42.3984375" bestFit="1" customWidth="1"/>
  </cols>
  <sheetData>
    <row r="1" spans="2:15" x14ac:dyDescent="0.3">
      <c r="K1" s="4" t="s">
        <v>437</v>
      </c>
      <c r="L1" s="4"/>
      <c r="N1" s="4" t="s">
        <v>438</v>
      </c>
      <c r="O1" s="4"/>
    </row>
    <row r="2" spans="2:15" x14ac:dyDescent="0.3">
      <c r="B2" t="s">
        <v>0</v>
      </c>
      <c r="C2" t="s">
        <v>272</v>
      </c>
      <c r="D2" t="s">
        <v>273</v>
      </c>
      <c r="E2" t="s">
        <v>1</v>
      </c>
      <c r="F2" t="s">
        <v>274</v>
      </c>
      <c r="I2" s="1" t="s">
        <v>436</v>
      </c>
      <c r="K2" t="s">
        <v>439</v>
      </c>
      <c r="L2" t="s">
        <v>440</v>
      </c>
      <c r="N2" t="s">
        <v>439</v>
      </c>
      <c r="O2" t="s">
        <v>440</v>
      </c>
    </row>
    <row r="3" spans="2:15" x14ac:dyDescent="0.3">
      <c r="B3" t="s">
        <v>146</v>
      </c>
      <c r="C3" t="s">
        <v>275</v>
      </c>
      <c r="D3" t="s">
        <v>276</v>
      </c>
      <c r="E3">
        <v>2</v>
      </c>
      <c r="F3">
        <v>10</v>
      </c>
      <c r="I3" t="s">
        <v>82</v>
      </c>
      <c r="K3">
        <v>0</v>
      </c>
      <c r="L3" t="s">
        <v>7</v>
      </c>
      <c r="N3">
        <v>0</v>
      </c>
      <c r="O3" t="s">
        <v>441</v>
      </c>
    </row>
    <row r="4" spans="2:15" x14ac:dyDescent="0.3">
      <c r="B4" t="s">
        <v>145</v>
      </c>
      <c r="C4" t="s">
        <v>277</v>
      </c>
      <c r="D4" t="s">
        <v>278</v>
      </c>
      <c r="E4">
        <v>1</v>
      </c>
      <c r="F4">
        <v>10</v>
      </c>
      <c r="I4" t="s">
        <v>37</v>
      </c>
      <c r="K4">
        <v>1</v>
      </c>
      <c r="L4" t="s">
        <v>5</v>
      </c>
      <c r="N4">
        <v>10</v>
      </c>
      <c r="O4" t="s">
        <v>442</v>
      </c>
    </row>
    <row r="5" spans="2:15" x14ac:dyDescent="0.3">
      <c r="B5" t="s">
        <v>144</v>
      </c>
      <c r="C5" t="s">
        <v>279</v>
      </c>
      <c r="D5" t="s">
        <v>280</v>
      </c>
      <c r="E5">
        <v>3</v>
      </c>
      <c r="F5">
        <v>10</v>
      </c>
      <c r="I5" t="s">
        <v>49</v>
      </c>
      <c r="K5">
        <v>2</v>
      </c>
      <c r="L5" t="s">
        <v>3</v>
      </c>
      <c r="N5">
        <v>100</v>
      </c>
      <c r="O5" t="s">
        <v>443</v>
      </c>
    </row>
    <row r="6" spans="2:15" x14ac:dyDescent="0.3">
      <c r="B6" t="s">
        <v>143</v>
      </c>
      <c r="C6" t="s">
        <v>281</v>
      </c>
      <c r="D6" t="s">
        <v>282</v>
      </c>
      <c r="E6">
        <v>2</v>
      </c>
      <c r="F6">
        <v>10</v>
      </c>
      <c r="I6" t="s">
        <v>75</v>
      </c>
      <c r="K6">
        <v>3</v>
      </c>
      <c r="L6" t="s">
        <v>63</v>
      </c>
    </row>
    <row r="7" spans="2:15" x14ac:dyDescent="0.3">
      <c r="B7" t="s">
        <v>142</v>
      </c>
      <c r="C7" t="s">
        <v>283</v>
      </c>
      <c r="D7" t="s">
        <v>284</v>
      </c>
      <c r="E7">
        <v>1</v>
      </c>
      <c r="F7">
        <v>10</v>
      </c>
      <c r="I7" t="s">
        <v>124</v>
      </c>
    </row>
    <row r="8" spans="2:15" x14ac:dyDescent="0.3">
      <c r="B8" t="s">
        <v>141</v>
      </c>
      <c r="C8" t="s">
        <v>283</v>
      </c>
      <c r="D8" t="s">
        <v>285</v>
      </c>
      <c r="E8">
        <v>2</v>
      </c>
      <c r="F8">
        <v>10</v>
      </c>
      <c r="I8" t="s">
        <v>133</v>
      </c>
    </row>
    <row r="9" spans="2:15" x14ac:dyDescent="0.3">
      <c r="B9" t="s">
        <v>140</v>
      </c>
      <c r="C9" t="s">
        <v>286</v>
      </c>
      <c r="D9" t="s">
        <v>287</v>
      </c>
      <c r="E9">
        <v>1</v>
      </c>
      <c r="F9">
        <v>10</v>
      </c>
      <c r="I9" t="s">
        <v>127</v>
      </c>
    </row>
    <row r="10" spans="2:15" x14ac:dyDescent="0.3">
      <c r="B10" t="s">
        <v>139</v>
      </c>
      <c r="C10" t="s">
        <v>288</v>
      </c>
      <c r="D10" t="s">
        <v>289</v>
      </c>
      <c r="E10">
        <v>1</v>
      </c>
      <c r="F10">
        <v>10</v>
      </c>
      <c r="I10" t="s">
        <v>4</v>
      </c>
    </row>
    <row r="11" spans="2:15" x14ac:dyDescent="0.3">
      <c r="B11" t="s">
        <v>138</v>
      </c>
      <c r="C11" t="s">
        <v>290</v>
      </c>
      <c r="D11" t="s">
        <v>291</v>
      </c>
      <c r="E11">
        <v>1</v>
      </c>
      <c r="F11">
        <v>10</v>
      </c>
      <c r="I11" t="s">
        <v>107</v>
      </c>
    </row>
    <row r="12" spans="2:15" x14ac:dyDescent="0.3">
      <c r="B12" t="s">
        <v>14</v>
      </c>
      <c r="C12" t="s">
        <v>292</v>
      </c>
      <c r="D12" t="s">
        <v>293</v>
      </c>
      <c r="E12">
        <v>1</v>
      </c>
      <c r="F12">
        <v>0</v>
      </c>
      <c r="I12" t="s">
        <v>116</v>
      </c>
    </row>
    <row r="13" spans="2:15" x14ac:dyDescent="0.3">
      <c r="B13" t="s">
        <v>13</v>
      </c>
      <c r="C13" t="s">
        <v>294</v>
      </c>
      <c r="D13" t="s">
        <v>295</v>
      </c>
      <c r="E13">
        <v>2</v>
      </c>
      <c r="F13">
        <v>0</v>
      </c>
      <c r="I13" t="s">
        <v>86</v>
      </c>
    </row>
    <row r="14" spans="2:15" x14ac:dyDescent="0.3">
      <c r="B14" t="s">
        <v>137</v>
      </c>
      <c r="C14" t="s">
        <v>290</v>
      </c>
      <c r="D14" t="s">
        <v>291</v>
      </c>
      <c r="E14">
        <v>0</v>
      </c>
      <c r="F14">
        <v>10</v>
      </c>
      <c r="I14" t="s">
        <v>50</v>
      </c>
    </row>
    <row r="15" spans="2:15" x14ac:dyDescent="0.3">
      <c r="B15" t="s">
        <v>136</v>
      </c>
      <c r="C15" t="s">
        <v>296</v>
      </c>
      <c r="D15" t="s">
        <v>297</v>
      </c>
      <c r="E15">
        <v>0</v>
      </c>
      <c r="F15">
        <v>10</v>
      </c>
      <c r="I15" t="s">
        <v>60</v>
      </c>
    </row>
    <row r="16" spans="2:15" x14ac:dyDescent="0.3">
      <c r="B16" t="s">
        <v>135</v>
      </c>
      <c r="C16" t="s">
        <v>283</v>
      </c>
      <c r="D16" t="s">
        <v>298</v>
      </c>
      <c r="E16">
        <v>0</v>
      </c>
      <c r="F16">
        <v>10</v>
      </c>
      <c r="I16" t="s">
        <v>31</v>
      </c>
    </row>
    <row r="17" spans="2:9" x14ac:dyDescent="0.3">
      <c r="B17" t="s">
        <v>180</v>
      </c>
      <c r="C17" t="s">
        <v>292</v>
      </c>
      <c r="D17" t="s">
        <v>299</v>
      </c>
      <c r="E17">
        <v>0</v>
      </c>
      <c r="F17">
        <v>100</v>
      </c>
      <c r="I17" t="s">
        <v>173</v>
      </c>
    </row>
    <row r="18" spans="2:9" x14ac:dyDescent="0.3">
      <c r="B18" t="s">
        <v>134</v>
      </c>
      <c r="C18" t="s">
        <v>300</v>
      </c>
      <c r="D18" t="s">
        <v>301</v>
      </c>
      <c r="E18">
        <v>1</v>
      </c>
      <c r="F18">
        <v>10</v>
      </c>
      <c r="I18" t="s">
        <v>71</v>
      </c>
    </row>
    <row r="19" spans="2:9" x14ac:dyDescent="0.3">
      <c r="B19" t="s">
        <v>133</v>
      </c>
      <c r="C19" t="s">
        <v>300</v>
      </c>
      <c r="D19" t="s">
        <v>302</v>
      </c>
      <c r="E19">
        <v>1</v>
      </c>
      <c r="F19">
        <v>10</v>
      </c>
      <c r="I19" t="s">
        <v>18</v>
      </c>
    </row>
    <row r="20" spans="2:9" x14ac:dyDescent="0.3">
      <c r="B20" t="s">
        <v>179</v>
      </c>
      <c r="C20" t="s">
        <v>288</v>
      </c>
      <c r="D20" t="s">
        <v>303</v>
      </c>
      <c r="E20">
        <v>2</v>
      </c>
      <c r="F20">
        <v>100</v>
      </c>
      <c r="I20" t="s">
        <v>65</v>
      </c>
    </row>
    <row r="21" spans="2:9" x14ac:dyDescent="0.3">
      <c r="B21" t="s">
        <v>132</v>
      </c>
      <c r="C21" t="s">
        <v>304</v>
      </c>
      <c r="D21" t="s">
        <v>305</v>
      </c>
      <c r="E21">
        <v>0</v>
      </c>
      <c r="F21">
        <v>10</v>
      </c>
      <c r="I21" t="s">
        <v>139</v>
      </c>
    </row>
    <row r="22" spans="2:9" x14ac:dyDescent="0.3">
      <c r="B22" t="s">
        <v>131</v>
      </c>
      <c r="C22" t="s">
        <v>290</v>
      </c>
      <c r="D22" t="s">
        <v>306</v>
      </c>
      <c r="E22">
        <v>2</v>
      </c>
      <c r="F22">
        <v>10</v>
      </c>
      <c r="I22" t="s">
        <v>42</v>
      </c>
    </row>
    <row r="23" spans="2:9" x14ac:dyDescent="0.3">
      <c r="B23" t="s">
        <v>177</v>
      </c>
      <c r="C23" t="s">
        <v>283</v>
      </c>
      <c r="D23" t="s">
        <v>307</v>
      </c>
      <c r="E23">
        <v>1</v>
      </c>
      <c r="F23">
        <v>100</v>
      </c>
      <c r="I23" t="s">
        <v>144</v>
      </c>
    </row>
    <row r="24" spans="2:9" x14ac:dyDescent="0.3">
      <c r="B24" t="s">
        <v>130</v>
      </c>
      <c r="C24" t="s">
        <v>279</v>
      </c>
      <c r="D24" t="s">
        <v>308</v>
      </c>
      <c r="E24">
        <v>2</v>
      </c>
      <c r="F24">
        <v>10</v>
      </c>
      <c r="I24" t="s">
        <v>45</v>
      </c>
    </row>
    <row r="25" spans="2:9" x14ac:dyDescent="0.3">
      <c r="B25" t="s">
        <v>178</v>
      </c>
      <c r="C25" t="s">
        <v>288</v>
      </c>
      <c r="D25" t="s">
        <v>309</v>
      </c>
      <c r="E25">
        <v>0</v>
      </c>
      <c r="F25">
        <v>10</v>
      </c>
      <c r="I25" t="s">
        <v>103</v>
      </c>
    </row>
    <row r="26" spans="2:9" x14ac:dyDescent="0.3">
      <c r="B26" t="s">
        <v>34</v>
      </c>
      <c r="C26" t="s">
        <v>310</v>
      </c>
      <c r="D26" t="s">
        <v>311</v>
      </c>
      <c r="E26">
        <v>2</v>
      </c>
      <c r="F26">
        <v>100</v>
      </c>
      <c r="I26" t="s">
        <v>175</v>
      </c>
    </row>
    <row r="27" spans="2:9" x14ac:dyDescent="0.3">
      <c r="B27" t="s">
        <v>12</v>
      </c>
      <c r="C27" t="s">
        <v>300</v>
      </c>
      <c r="D27" t="s">
        <v>301</v>
      </c>
      <c r="E27">
        <v>1</v>
      </c>
      <c r="F27">
        <v>0</v>
      </c>
      <c r="I27" t="s">
        <v>109</v>
      </c>
    </row>
    <row r="28" spans="2:9" x14ac:dyDescent="0.3">
      <c r="B28" t="s">
        <v>129</v>
      </c>
      <c r="C28" t="s">
        <v>294</v>
      </c>
      <c r="D28" t="s">
        <v>312</v>
      </c>
      <c r="E28">
        <v>1</v>
      </c>
      <c r="F28">
        <v>10</v>
      </c>
      <c r="I28" t="s">
        <v>142</v>
      </c>
    </row>
    <row r="29" spans="2:9" x14ac:dyDescent="0.3">
      <c r="B29" t="s">
        <v>33</v>
      </c>
      <c r="C29" t="s">
        <v>313</v>
      </c>
      <c r="D29" t="s">
        <v>314</v>
      </c>
      <c r="E29">
        <v>2</v>
      </c>
      <c r="F29">
        <v>100</v>
      </c>
      <c r="I29" t="s">
        <v>13</v>
      </c>
    </row>
    <row r="30" spans="2:9" x14ac:dyDescent="0.3">
      <c r="B30" t="s">
        <v>128</v>
      </c>
      <c r="C30" t="s">
        <v>315</v>
      </c>
      <c r="D30" t="s">
        <v>316</v>
      </c>
      <c r="E30">
        <v>3</v>
      </c>
      <c r="F30">
        <v>10</v>
      </c>
      <c r="I30" t="s">
        <v>140</v>
      </c>
    </row>
    <row r="31" spans="2:9" x14ac:dyDescent="0.3">
      <c r="B31" t="s">
        <v>127</v>
      </c>
      <c r="C31" t="s">
        <v>317</v>
      </c>
      <c r="D31" t="s">
        <v>318</v>
      </c>
      <c r="E31">
        <v>1</v>
      </c>
      <c r="F31">
        <v>10</v>
      </c>
      <c r="I31" t="s">
        <v>69</v>
      </c>
    </row>
    <row r="32" spans="2:9" x14ac:dyDescent="0.3">
      <c r="B32" t="s">
        <v>126</v>
      </c>
      <c r="C32" t="s">
        <v>300</v>
      </c>
      <c r="D32" t="s">
        <v>301</v>
      </c>
      <c r="E32">
        <v>2</v>
      </c>
      <c r="F32">
        <v>10</v>
      </c>
      <c r="I32" t="s">
        <v>102</v>
      </c>
    </row>
    <row r="33" spans="2:9" x14ac:dyDescent="0.3">
      <c r="B33" t="s">
        <v>125</v>
      </c>
      <c r="C33" t="s">
        <v>290</v>
      </c>
      <c r="D33" t="s">
        <v>319</v>
      </c>
      <c r="E33">
        <v>0</v>
      </c>
      <c r="F33">
        <v>10</v>
      </c>
      <c r="I33" t="s">
        <v>94</v>
      </c>
    </row>
    <row r="34" spans="2:9" x14ac:dyDescent="0.3">
      <c r="B34" t="s">
        <v>124</v>
      </c>
      <c r="C34" t="s">
        <v>320</v>
      </c>
      <c r="D34" t="s">
        <v>321</v>
      </c>
      <c r="E34">
        <v>1</v>
      </c>
      <c r="F34">
        <v>10</v>
      </c>
      <c r="I34" t="s">
        <v>104</v>
      </c>
    </row>
    <row r="35" spans="2:9" x14ac:dyDescent="0.3">
      <c r="B35" t="s">
        <v>176</v>
      </c>
      <c r="C35" t="s">
        <v>281</v>
      </c>
      <c r="D35" t="s">
        <v>322</v>
      </c>
      <c r="E35">
        <v>2</v>
      </c>
      <c r="F35">
        <v>100</v>
      </c>
      <c r="I35" t="s">
        <v>120</v>
      </c>
    </row>
    <row r="36" spans="2:9" x14ac:dyDescent="0.3">
      <c r="B36" t="s">
        <v>175</v>
      </c>
      <c r="C36" t="s">
        <v>292</v>
      </c>
      <c r="D36" t="s">
        <v>323</v>
      </c>
      <c r="E36">
        <v>0</v>
      </c>
      <c r="F36">
        <v>100</v>
      </c>
      <c r="I36" t="s">
        <v>10</v>
      </c>
    </row>
    <row r="37" spans="2:9" x14ac:dyDescent="0.3">
      <c r="B37" t="s">
        <v>174</v>
      </c>
      <c r="C37" t="s">
        <v>290</v>
      </c>
      <c r="D37" t="s">
        <v>324</v>
      </c>
      <c r="E37">
        <v>0</v>
      </c>
      <c r="F37">
        <v>100</v>
      </c>
      <c r="I37" t="s">
        <v>38</v>
      </c>
    </row>
    <row r="38" spans="2:9" x14ac:dyDescent="0.3">
      <c r="B38" t="s">
        <v>123</v>
      </c>
      <c r="C38" t="s">
        <v>296</v>
      </c>
      <c r="D38" t="s">
        <v>325</v>
      </c>
      <c r="E38">
        <v>0</v>
      </c>
      <c r="F38">
        <v>10</v>
      </c>
      <c r="I38" t="s">
        <v>66</v>
      </c>
    </row>
    <row r="39" spans="2:9" x14ac:dyDescent="0.3">
      <c r="B39" t="s">
        <v>173</v>
      </c>
      <c r="C39" t="s">
        <v>275</v>
      </c>
      <c r="D39" t="s">
        <v>326</v>
      </c>
      <c r="E39">
        <v>1</v>
      </c>
      <c r="F39">
        <v>100</v>
      </c>
      <c r="I39" t="s">
        <v>88</v>
      </c>
    </row>
    <row r="40" spans="2:9" x14ac:dyDescent="0.3">
      <c r="B40" t="s">
        <v>122</v>
      </c>
      <c r="C40" t="s">
        <v>327</v>
      </c>
      <c r="D40" t="s">
        <v>328</v>
      </c>
      <c r="E40">
        <v>3</v>
      </c>
      <c r="F40">
        <v>10</v>
      </c>
      <c r="I40" t="s">
        <v>101</v>
      </c>
    </row>
    <row r="41" spans="2:9" x14ac:dyDescent="0.3">
      <c r="B41" t="s">
        <v>121</v>
      </c>
      <c r="C41" t="s">
        <v>290</v>
      </c>
      <c r="D41" t="s">
        <v>329</v>
      </c>
      <c r="E41">
        <v>1</v>
      </c>
      <c r="F41">
        <v>10</v>
      </c>
      <c r="I41" t="s">
        <v>106</v>
      </c>
    </row>
    <row r="42" spans="2:9" x14ac:dyDescent="0.3">
      <c r="B42" t="s">
        <v>172</v>
      </c>
      <c r="C42" t="s">
        <v>330</v>
      </c>
      <c r="D42" t="s">
        <v>331</v>
      </c>
      <c r="E42">
        <v>2</v>
      </c>
      <c r="F42">
        <v>100</v>
      </c>
      <c r="I42" t="s">
        <v>23</v>
      </c>
    </row>
    <row r="43" spans="2:9" x14ac:dyDescent="0.3">
      <c r="B43" t="s">
        <v>120</v>
      </c>
      <c r="C43" t="s">
        <v>332</v>
      </c>
      <c r="D43" t="s">
        <v>333</v>
      </c>
      <c r="E43">
        <v>1</v>
      </c>
      <c r="F43">
        <v>10</v>
      </c>
      <c r="I43" t="s">
        <v>78</v>
      </c>
    </row>
    <row r="44" spans="2:9" x14ac:dyDescent="0.3">
      <c r="B44" t="s">
        <v>119</v>
      </c>
      <c r="C44" t="s">
        <v>334</v>
      </c>
      <c r="D44" t="s">
        <v>335</v>
      </c>
      <c r="E44">
        <v>1</v>
      </c>
      <c r="F44">
        <v>10</v>
      </c>
      <c r="I44" t="s">
        <v>34</v>
      </c>
    </row>
    <row r="45" spans="2:9" x14ac:dyDescent="0.3">
      <c r="B45" t="s">
        <v>32</v>
      </c>
      <c r="C45" t="s">
        <v>336</v>
      </c>
      <c r="D45" t="s">
        <v>337</v>
      </c>
      <c r="E45">
        <v>1</v>
      </c>
      <c r="F45">
        <v>100</v>
      </c>
      <c r="I45" t="s">
        <v>15</v>
      </c>
    </row>
    <row r="46" spans="2:9" x14ac:dyDescent="0.3">
      <c r="B46" t="s">
        <v>118</v>
      </c>
      <c r="C46" t="s">
        <v>279</v>
      </c>
      <c r="D46" t="s">
        <v>338</v>
      </c>
      <c r="E46">
        <v>2</v>
      </c>
      <c r="F46">
        <v>10</v>
      </c>
      <c r="I46" t="s">
        <v>123</v>
      </c>
    </row>
    <row r="47" spans="2:9" x14ac:dyDescent="0.3">
      <c r="B47" t="s">
        <v>171</v>
      </c>
      <c r="C47" t="s">
        <v>292</v>
      </c>
      <c r="D47" t="s">
        <v>299</v>
      </c>
      <c r="E47">
        <v>0</v>
      </c>
      <c r="F47">
        <v>100</v>
      </c>
      <c r="I47" t="s">
        <v>177</v>
      </c>
    </row>
    <row r="48" spans="2:9" x14ac:dyDescent="0.3">
      <c r="B48" t="s">
        <v>11</v>
      </c>
      <c r="C48" t="s">
        <v>313</v>
      </c>
      <c r="D48" t="s">
        <v>339</v>
      </c>
      <c r="E48">
        <v>0</v>
      </c>
      <c r="F48">
        <v>0</v>
      </c>
      <c r="I48" t="s">
        <v>11</v>
      </c>
    </row>
    <row r="49" spans="2:9" x14ac:dyDescent="0.3">
      <c r="B49" t="s">
        <v>117</v>
      </c>
      <c r="C49" t="s">
        <v>288</v>
      </c>
      <c r="D49" t="s">
        <v>340</v>
      </c>
      <c r="E49">
        <v>2</v>
      </c>
      <c r="F49">
        <v>10</v>
      </c>
      <c r="I49" t="s">
        <v>129</v>
      </c>
    </row>
    <row r="50" spans="2:9" x14ac:dyDescent="0.3">
      <c r="B50" t="s">
        <v>116</v>
      </c>
      <c r="C50" t="s">
        <v>283</v>
      </c>
      <c r="D50" t="s">
        <v>341</v>
      </c>
      <c r="E50">
        <v>1</v>
      </c>
      <c r="F50">
        <v>10</v>
      </c>
      <c r="I50" t="s">
        <v>111</v>
      </c>
    </row>
    <row r="51" spans="2:9" x14ac:dyDescent="0.3">
      <c r="B51" t="s">
        <v>10</v>
      </c>
      <c r="C51" t="s">
        <v>296</v>
      </c>
      <c r="D51" t="s">
        <v>342</v>
      </c>
      <c r="E51">
        <v>0</v>
      </c>
      <c r="F51">
        <v>0</v>
      </c>
      <c r="I51" t="s">
        <v>98</v>
      </c>
    </row>
    <row r="52" spans="2:9" x14ac:dyDescent="0.3">
      <c r="B52" t="s">
        <v>115</v>
      </c>
      <c r="C52" t="s">
        <v>343</v>
      </c>
      <c r="D52" t="s">
        <v>301</v>
      </c>
      <c r="E52">
        <v>1</v>
      </c>
      <c r="F52">
        <v>10</v>
      </c>
      <c r="I52" t="s">
        <v>59</v>
      </c>
    </row>
    <row r="53" spans="2:9" x14ac:dyDescent="0.3">
      <c r="B53" t="s">
        <v>114</v>
      </c>
      <c r="C53" t="s">
        <v>344</v>
      </c>
      <c r="D53" t="s">
        <v>345</v>
      </c>
      <c r="E53">
        <v>1</v>
      </c>
      <c r="F53">
        <v>10</v>
      </c>
      <c r="I53" t="s">
        <v>95</v>
      </c>
    </row>
    <row r="54" spans="2:9" x14ac:dyDescent="0.3">
      <c r="B54" t="s">
        <v>113</v>
      </c>
      <c r="C54" t="s">
        <v>300</v>
      </c>
      <c r="D54" t="s">
        <v>346</v>
      </c>
      <c r="E54">
        <v>0</v>
      </c>
      <c r="F54">
        <v>10</v>
      </c>
      <c r="I54" t="s">
        <v>28</v>
      </c>
    </row>
    <row r="55" spans="2:9" x14ac:dyDescent="0.3">
      <c r="B55" t="s">
        <v>112</v>
      </c>
      <c r="C55" t="s">
        <v>300</v>
      </c>
      <c r="D55" t="s">
        <v>347</v>
      </c>
      <c r="E55">
        <v>1</v>
      </c>
      <c r="F55">
        <v>10</v>
      </c>
      <c r="I55" t="s">
        <v>19</v>
      </c>
    </row>
    <row r="56" spans="2:9" x14ac:dyDescent="0.3">
      <c r="B56" t="s">
        <v>111</v>
      </c>
      <c r="C56" t="s">
        <v>296</v>
      </c>
      <c r="D56" t="s">
        <v>348</v>
      </c>
      <c r="E56">
        <v>2</v>
      </c>
      <c r="F56">
        <v>10</v>
      </c>
      <c r="I56" t="s">
        <v>26</v>
      </c>
    </row>
    <row r="57" spans="2:9" x14ac:dyDescent="0.3">
      <c r="B57" t="s">
        <v>110</v>
      </c>
      <c r="C57" t="s">
        <v>300</v>
      </c>
      <c r="D57" t="s">
        <v>347</v>
      </c>
      <c r="E57">
        <v>1</v>
      </c>
      <c r="F57">
        <v>10</v>
      </c>
      <c r="I57" t="s">
        <v>24</v>
      </c>
    </row>
    <row r="58" spans="2:9" x14ac:dyDescent="0.3">
      <c r="B58" t="s">
        <v>109</v>
      </c>
      <c r="C58" t="s">
        <v>290</v>
      </c>
      <c r="D58" t="s">
        <v>306</v>
      </c>
      <c r="E58">
        <v>1</v>
      </c>
      <c r="F58">
        <v>10</v>
      </c>
      <c r="I58" t="s">
        <v>85</v>
      </c>
    </row>
    <row r="59" spans="2:9" x14ac:dyDescent="0.3">
      <c r="B59" t="s">
        <v>108</v>
      </c>
      <c r="C59" t="s">
        <v>344</v>
      </c>
      <c r="D59" t="s">
        <v>345</v>
      </c>
      <c r="E59">
        <v>1</v>
      </c>
      <c r="F59">
        <v>10</v>
      </c>
      <c r="I59" t="s">
        <v>118</v>
      </c>
    </row>
    <row r="60" spans="2:9" x14ac:dyDescent="0.3">
      <c r="B60" t="s">
        <v>107</v>
      </c>
      <c r="C60" t="s">
        <v>349</v>
      </c>
      <c r="D60" t="s">
        <v>350</v>
      </c>
      <c r="E60">
        <v>3</v>
      </c>
      <c r="F60">
        <v>10</v>
      </c>
      <c r="I60" t="s">
        <v>80</v>
      </c>
    </row>
    <row r="61" spans="2:9" x14ac:dyDescent="0.3">
      <c r="B61" t="s">
        <v>106</v>
      </c>
      <c r="C61" t="s">
        <v>279</v>
      </c>
      <c r="D61" t="s">
        <v>338</v>
      </c>
      <c r="E61">
        <v>2</v>
      </c>
      <c r="F61">
        <v>10</v>
      </c>
      <c r="I61" t="s">
        <v>125</v>
      </c>
    </row>
    <row r="62" spans="2:9" x14ac:dyDescent="0.3">
      <c r="B62" t="s">
        <v>31</v>
      </c>
      <c r="C62" t="s">
        <v>277</v>
      </c>
      <c r="D62" t="s">
        <v>351</v>
      </c>
      <c r="E62">
        <v>1</v>
      </c>
      <c r="F62">
        <v>100</v>
      </c>
      <c r="I62" t="s">
        <v>174</v>
      </c>
    </row>
    <row r="63" spans="2:9" x14ac:dyDescent="0.3">
      <c r="B63" t="s">
        <v>105</v>
      </c>
      <c r="C63" t="s">
        <v>300</v>
      </c>
      <c r="D63" t="s">
        <v>346</v>
      </c>
      <c r="E63">
        <v>0</v>
      </c>
      <c r="F63">
        <v>10</v>
      </c>
      <c r="I63" t="s">
        <v>67</v>
      </c>
    </row>
    <row r="64" spans="2:9" x14ac:dyDescent="0.3">
      <c r="B64" t="s">
        <v>104</v>
      </c>
      <c r="C64" t="s">
        <v>352</v>
      </c>
      <c r="D64" t="s">
        <v>353</v>
      </c>
      <c r="E64">
        <v>1</v>
      </c>
      <c r="F64">
        <v>10</v>
      </c>
      <c r="I64" t="s">
        <v>100</v>
      </c>
    </row>
    <row r="65" spans="2:9" x14ac:dyDescent="0.3">
      <c r="B65" t="s">
        <v>103</v>
      </c>
      <c r="C65" t="s">
        <v>344</v>
      </c>
      <c r="D65" t="s">
        <v>354</v>
      </c>
      <c r="E65">
        <v>0</v>
      </c>
      <c r="F65">
        <v>10</v>
      </c>
      <c r="I65" t="s">
        <v>40</v>
      </c>
    </row>
    <row r="66" spans="2:9" x14ac:dyDescent="0.3">
      <c r="B66" t="s">
        <v>102</v>
      </c>
      <c r="C66" t="s">
        <v>300</v>
      </c>
      <c r="D66" t="s">
        <v>346</v>
      </c>
      <c r="E66">
        <v>1</v>
      </c>
      <c r="F66">
        <v>10</v>
      </c>
      <c r="I66" t="s">
        <v>20</v>
      </c>
    </row>
    <row r="67" spans="2:9" x14ac:dyDescent="0.3">
      <c r="B67" t="s">
        <v>101</v>
      </c>
      <c r="C67" t="s">
        <v>355</v>
      </c>
      <c r="D67" t="s">
        <v>356</v>
      </c>
      <c r="E67">
        <v>1</v>
      </c>
      <c r="F67">
        <v>10</v>
      </c>
      <c r="I67" t="s">
        <v>41</v>
      </c>
    </row>
    <row r="68" spans="2:9" x14ac:dyDescent="0.3">
      <c r="B68" t="s">
        <v>30</v>
      </c>
      <c r="C68" t="s">
        <v>357</v>
      </c>
      <c r="D68" t="s">
        <v>358</v>
      </c>
      <c r="E68">
        <v>2</v>
      </c>
      <c r="F68">
        <v>100</v>
      </c>
      <c r="I68" t="s">
        <v>434</v>
      </c>
    </row>
    <row r="69" spans="2:9" x14ac:dyDescent="0.3">
      <c r="B69" t="s">
        <v>9</v>
      </c>
      <c r="C69" t="s">
        <v>359</v>
      </c>
      <c r="D69" t="s">
        <v>360</v>
      </c>
      <c r="E69">
        <v>1</v>
      </c>
      <c r="F69">
        <v>0</v>
      </c>
      <c r="I69" t="s">
        <v>79</v>
      </c>
    </row>
    <row r="70" spans="2:9" x14ac:dyDescent="0.3">
      <c r="B70" t="s">
        <v>29</v>
      </c>
      <c r="C70" t="s">
        <v>290</v>
      </c>
      <c r="D70" t="s">
        <v>361</v>
      </c>
      <c r="E70">
        <v>2</v>
      </c>
      <c r="F70">
        <v>100</v>
      </c>
      <c r="I70" t="s">
        <v>62</v>
      </c>
    </row>
    <row r="71" spans="2:9" x14ac:dyDescent="0.3">
      <c r="B71" t="s">
        <v>28</v>
      </c>
      <c r="C71" t="s">
        <v>294</v>
      </c>
      <c r="D71" t="s">
        <v>362</v>
      </c>
      <c r="E71">
        <v>1</v>
      </c>
      <c r="F71">
        <v>100</v>
      </c>
      <c r="I71" t="s">
        <v>87</v>
      </c>
    </row>
    <row r="72" spans="2:9" x14ac:dyDescent="0.3">
      <c r="B72" t="s">
        <v>100</v>
      </c>
      <c r="C72" t="s">
        <v>300</v>
      </c>
      <c r="D72" t="s">
        <v>363</v>
      </c>
      <c r="E72">
        <v>1</v>
      </c>
      <c r="F72">
        <v>10</v>
      </c>
      <c r="I72" t="s">
        <v>2</v>
      </c>
    </row>
    <row r="73" spans="2:9" x14ac:dyDescent="0.3">
      <c r="B73" t="s">
        <v>99</v>
      </c>
      <c r="C73" t="s">
        <v>296</v>
      </c>
      <c r="D73" t="s">
        <v>297</v>
      </c>
      <c r="E73">
        <v>0</v>
      </c>
      <c r="F73">
        <v>10</v>
      </c>
      <c r="I73" t="s">
        <v>119</v>
      </c>
    </row>
    <row r="74" spans="2:9" x14ac:dyDescent="0.3">
      <c r="B74" t="s">
        <v>98</v>
      </c>
      <c r="C74" t="s">
        <v>300</v>
      </c>
      <c r="D74" t="s">
        <v>364</v>
      </c>
      <c r="E74">
        <v>0</v>
      </c>
      <c r="F74">
        <v>10</v>
      </c>
      <c r="I74" t="s">
        <v>131</v>
      </c>
    </row>
    <row r="75" spans="2:9" x14ac:dyDescent="0.3">
      <c r="B75" t="s">
        <v>97</v>
      </c>
      <c r="C75" t="s">
        <v>296</v>
      </c>
      <c r="D75" t="s">
        <v>297</v>
      </c>
      <c r="E75">
        <v>1</v>
      </c>
      <c r="F75">
        <v>10</v>
      </c>
      <c r="I75" t="s">
        <v>132</v>
      </c>
    </row>
    <row r="76" spans="2:9" x14ac:dyDescent="0.3">
      <c r="B76" t="s">
        <v>96</v>
      </c>
      <c r="C76" t="s">
        <v>300</v>
      </c>
      <c r="D76" t="s">
        <v>365</v>
      </c>
      <c r="E76">
        <v>2</v>
      </c>
      <c r="F76">
        <v>10</v>
      </c>
      <c r="I76" t="s">
        <v>8</v>
      </c>
    </row>
    <row r="77" spans="2:9" x14ac:dyDescent="0.3">
      <c r="B77" t="s">
        <v>8</v>
      </c>
      <c r="C77" t="s">
        <v>296</v>
      </c>
      <c r="D77" t="s">
        <v>348</v>
      </c>
      <c r="E77">
        <v>0</v>
      </c>
      <c r="F77">
        <v>0</v>
      </c>
      <c r="I77" t="s">
        <v>115</v>
      </c>
    </row>
    <row r="78" spans="2:9" x14ac:dyDescent="0.3">
      <c r="B78" t="s">
        <v>366</v>
      </c>
      <c r="C78" t="s">
        <v>300</v>
      </c>
      <c r="D78" t="s">
        <v>302</v>
      </c>
      <c r="E78">
        <v>2</v>
      </c>
      <c r="F78">
        <v>10</v>
      </c>
      <c r="I78" t="s">
        <v>21</v>
      </c>
    </row>
    <row r="79" spans="2:9" x14ac:dyDescent="0.3">
      <c r="B79" t="s">
        <v>94</v>
      </c>
      <c r="C79" t="s">
        <v>300</v>
      </c>
      <c r="D79" t="s">
        <v>367</v>
      </c>
      <c r="E79">
        <v>1</v>
      </c>
      <c r="F79">
        <v>10</v>
      </c>
      <c r="I79" t="s">
        <v>145</v>
      </c>
    </row>
    <row r="80" spans="2:9" x14ac:dyDescent="0.3">
      <c r="B80" t="s">
        <v>93</v>
      </c>
      <c r="C80" t="s">
        <v>368</v>
      </c>
      <c r="D80" t="s">
        <v>369</v>
      </c>
      <c r="E80">
        <v>1</v>
      </c>
      <c r="F80">
        <v>10</v>
      </c>
      <c r="I80" t="s">
        <v>39</v>
      </c>
    </row>
    <row r="81" spans="2:9" x14ac:dyDescent="0.3">
      <c r="B81" t="s">
        <v>92</v>
      </c>
      <c r="C81" t="s">
        <v>370</v>
      </c>
      <c r="D81" t="s">
        <v>371</v>
      </c>
      <c r="E81">
        <v>2</v>
      </c>
      <c r="F81">
        <v>10</v>
      </c>
      <c r="I81" t="s">
        <v>30</v>
      </c>
    </row>
    <row r="82" spans="2:9" x14ac:dyDescent="0.3">
      <c r="B82" t="s">
        <v>91</v>
      </c>
      <c r="C82" t="s">
        <v>372</v>
      </c>
      <c r="D82" t="s">
        <v>373</v>
      </c>
      <c r="E82">
        <v>2</v>
      </c>
      <c r="F82">
        <v>10</v>
      </c>
      <c r="I82" t="s">
        <v>32</v>
      </c>
    </row>
    <row r="83" spans="2:9" x14ac:dyDescent="0.3">
      <c r="B83" t="s">
        <v>90</v>
      </c>
      <c r="C83" t="s">
        <v>300</v>
      </c>
      <c r="D83" t="s">
        <v>302</v>
      </c>
      <c r="E83">
        <v>1</v>
      </c>
      <c r="F83">
        <v>10</v>
      </c>
      <c r="I83" t="s">
        <v>73</v>
      </c>
    </row>
    <row r="84" spans="2:9" x14ac:dyDescent="0.3">
      <c r="B84" t="s">
        <v>89</v>
      </c>
      <c r="C84" t="s">
        <v>374</v>
      </c>
      <c r="D84" t="s">
        <v>375</v>
      </c>
      <c r="E84">
        <v>0</v>
      </c>
      <c r="F84">
        <v>10</v>
      </c>
      <c r="I84" t="s">
        <v>146</v>
      </c>
    </row>
    <row r="85" spans="2:9" x14ac:dyDescent="0.3">
      <c r="B85" t="s">
        <v>27</v>
      </c>
      <c r="C85" t="s">
        <v>376</v>
      </c>
      <c r="D85" t="s">
        <v>377</v>
      </c>
      <c r="E85">
        <v>1</v>
      </c>
      <c r="F85">
        <v>100</v>
      </c>
      <c r="I85" t="s">
        <v>114</v>
      </c>
    </row>
    <row r="86" spans="2:9" x14ac:dyDescent="0.3">
      <c r="B86" t="s">
        <v>26</v>
      </c>
      <c r="C86" t="s">
        <v>294</v>
      </c>
      <c r="D86" t="s">
        <v>378</v>
      </c>
      <c r="E86">
        <v>1</v>
      </c>
      <c r="F86">
        <v>100</v>
      </c>
      <c r="I86" t="s">
        <v>90</v>
      </c>
    </row>
    <row r="87" spans="2:9" x14ac:dyDescent="0.3">
      <c r="B87" t="s">
        <v>25</v>
      </c>
      <c r="C87" t="s">
        <v>300</v>
      </c>
      <c r="D87" t="s">
        <v>379</v>
      </c>
      <c r="E87">
        <v>1</v>
      </c>
      <c r="F87">
        <v>100</v>
      </c>
      <c r="I87" t="s">
        <v>29</v>
      </c>
    </row>
    <row r="88" spans="2:9" x14ac:dyDescent="0.3">
      <c r="B88" t="s">
        <v>88</v>
      </c>
      <c r="C88" t="s">
        <v>290</v>
      </c>
      <c r="D88" t="s">
        <v>319</v>
      </c>
      <c r="E88">
        <v>0</v>
      </c>
      <c r="F88">
        <v>10</v>
      </c>
      <c r="I88" t="s">
        <v>96</v>
      </c>
    </row>
    <row r="89" spans="2:9" x14ac:dyDescent="0.3">
      <c r="B89" t="s">
        <v>87</v>
      </c>
      <c r="C89" t="s">
        <v>281</v>
      </c>
      <c r="D89" t="s">
        <v>282</v>
      </c>
      <c r="E89">
        <v>2</v>
      </c>
      <c r="F89">
        <v>10</v>
      </c>
      <c r="I89" t="s">
        <v>14</v>
      </c>
    </row>
    <row r="90" spans="2:9" x14ac:dyDescent="0.3">
      <c r="B90" t="s">
        <v>86</v>
      </c>
      <c r="C90" t="s">
        <v>300</v>
      </c>
      <c r="D90" t="s">
        <v>380</v>
      </c>
      <c r="E90">
        <v>0</v>
      </c>
      <c r="F90">
        <v>10</v>
      </c>
      <c r="I90" t="s">
        <v>141</v>
      </c>
    </row>
    <row r="91" spans="2:9" x14ac:dyDescent="0.3">
      <c r="B91" t="s">
        <v>85</v>
      </c>
      <c r="C91" t="s">
        <v>300</v>
      </c>
      <c r="D91" t="s">
        <v>380</v>
      </c>
      <c r="E91">
        <v>1</v>
      </c>
      <c r="F91">
        <v>10</v>
      </c>
      <c r="I91" t="s">
        <v>138</v>
      </c>
    </row>
    <row r="92" spans="2:9" x14ac:dyDescent="0.3">
      <c r="B92" t="s">
        <v>84</v>
      </c>
      <c r="C92" t="s">
        <v>300</v>
      </c>
      <c r="D92" t="s">
        <v>380</v>
      </c>
      <c r="E92">
        <v>2</v>
      </c>
      <c r="F92">
        <v>10</v>
      </c>
      <c r="I92" t="s">
        <v>93</v>
      </c>
    </row>
    <row r="93" spans="2:9" x14ac:dyDescent="0.3">
      <c r="B93" t="s">
        <v>83</v>
      </c>
      <c r="C93" t="s">
        <v>300</v>
      </c>
      <c r="D93" t="s">
        <v>346</v>
      </c>
      <c r="E93">
        <v>1</v>
      </c>
      <c r="F93">
        <v>10</v>
      </c>
      <c r="I93" t="s">
        <v>46</v>
      </c>
    </row>
    <row r="94" spans="2:9" x14ac:dyDescent="0.3">
      <c r="B94" t="s">
        <v>82</v>
      </c>
      <c r="C94" t="s">
        <v>290</v>
      </c>
      <c r="D94" t="s">
        <v>381</v>
      </c>
      <c r="E94">
        <v>1</v>
      </c>
      <c r="F94">
        <v>10</v>
      </c>
      <c r="I94" t="s">
        <v>53</v>
      </c>
    </row>
    <row r="95" spans="2:9" x14ac:dyDescent="0.3">
      <c r="B95" t="s">
        <v>81</v>
      </c>
      <c r="C95" t="s">
        <v>382</v>
      </c>
      <c r="D95" t="s">
        <v>383</v>
      </c>
      <c r="E95">
        <v>2</v>
      </c>
      <c r="F95">
        <v>10</v>
      </c>
      <c r="I95" t="s">
        <v>83</v>
      </c>
    </row>
    <row r="96" spans="2:9" x14ac:dyDescent="0.3">
      <c r="B96" t="s">
        <v>80</v>
      </c>
      <c r="C96" t="s">
        <v>279</v>
      </c>
      <c r="D96" t="s">
        <v>280</v>
      </c>
      <c r="E96">
        <v>3</v>
      </c>
      <c r="F96">
        <v>10</v>
      </c>
      <c r="I96" t="s">
        <v>36</v>
      </c>
    </row>
    <row r="97" spans="2:9" x14ac:dyDescent="0.3">
      <c r="B97" t="s">
        <v>79</v>
      </c>
      <c r="C97" t="s">
        <v>300</v>
      </c>
      <c r="D97" t="s">
        <v>364</v>
      </c>
      <c r="E97">
        <v>0</v>
      </c>
      <c r="F97">
        <v>10</v>
      </c>
      <c r="I97" t="s">
        <v>143</v>
      </c>
    </row>
    <row r="98" spans="2:9" x14ac:dyDescent="0.3">
      <c r="B98" t="s">
        <v>78</v>
      </c>
      <c r="C98" t="s">
        <v>283</v>
      </c>
      <c r="D98" t="s">
        <v>341</v>
      </c>
      <c r="E98">
        <v>1</v>
      </c>
      <c r="F98">
        <v>10</v>
      </c>
      <c r="I98" t="s">
        <v>43</v>
      </c>
    </row>
    <row r="99" spans="2:9" x14ac:dyDescent="0.3">
      <c r="B99" t="s">
        <v>77</v>
      </c>
      <c r="C99" t="s">
        <v>300</v>
      </c>
      <c r="D99" t="s">
        <v>364</v>
      </c>
      <c r="E99">
        <v>0</v>
      </c>
      <c r="F99">
        <v>10</v>
      </c>
      <c r="I99" t="s">
        <v>33</v>
      </c>
    </row>
    <row r="100" spans="2:9" x14ac:dyDescent="0.3">
      <c r="B100" t="s">
        <v>76</v>
      </c>
      <c r="C100" t="s">
        <v>296</v>
      </c>
      <c r="D100" t="s">
        <v>297</v>
      </c>
      <c r="E100">
        <v>1</v>
      </c>
      <c r="F100">
        <v>10</v>
      </c>
      <c r="I100" t="s">
        <v>27</v>
      </c>
    </row>
    <row r="101" spans="2:9" x14ac:dyDescent="0.3">
      <c r="B101" t="s">
        <v>24</v>
      </c>
      <c r="C101" t="s">
        <v>384</v>
      </c>
      <c r="D101" t="s">
        <v>385</v>
      </c>
      <c r="E101">
        <v>2</v>
      </c>
      <c r="F101">
        <v>100</v>
      </c>
      <c r="I101" t="s">
        <v>176</v>
      </c>
    </row>
    <row r="102" spans="2:9" x14ac:dyDescent="0.3">
      <c r="B102" t="s">
        <v>75</v>
      </c>
      <c r="C102" t="s">
        <v>300</v>
      </c>
      <c r="D102" t="s">
        <v>386</v>
      </c>
      <c r="E102">
        <v>0</v>
      </c>
      <c r="F102">
        <v>10</v>
      </c>
      <c r="I102" t="s">
        <v>61</v>
      </c>
    </row>
    <row r="103" spans="2:9" x14ac:dyDescent="0.3">
      <c r="B103" t="s">
        <v>74</v>
      </c>
      <c r="C103" t="s">
        <v>296</v>
      </c>
      <c r="D103" t="s">
        <v>297</v>
      </c>
      <c r="E103">
        <v>1</v>
      </c>
      <c r="F103">
        <v>10</v>
      </c>
      <c r="I103" t="s">
        <v>44</v>
      </c>
    </row>
    <row r="104" spans="2:9" x14ac:dyDescent="0.3">
      <c r="B104" t="s">
        <v>23</v>
      </c>
      <c r="C104" t="s">
        <v>387</v>
      </c>
      <c r="D104" t="s">
        <v>388</v>
      </c>
      <c r="E104">
        <v>2</v>
      </c>
      <c r="F104">
        <v>100</v>
      </c>
      <c r="I104" t="s">
        <v>113</v>
      </c>
    </row>
    <row r="105" spans="2:9" x14ac:dyDescent="0.3">
      <c r="B105" t="s">
        <v>73</v>
      </c>
      <c r="C105" t="s">
        <v>300</v>
      </c>
      <c r="D105" t="s">
        <v>386</v>
      </c>
      <c r="E105">
        <v>2</v>
      </c>
      <c r="F105">
        <v>10</v>
      </c>
      <c r="I105" t="s">
        <v>12</v>
      </c>
    </row>
    <row r="106" spans="2:9" x14ac:dyDescent="0.3">
      <c r="B106" t="s">
        <v>170</v>
      </c>
      <c r="C106" t="s">
        <v>389</v>
      </c>
      <c r="D106" t="s">
        <v>390</v>
      </c>
      <c r="E106">
        <v>1</v>
      </c>
      <c r="F106">
        <v>100</v>
      </c>
      <c r="I106" t="s">
        <v>110</v>
      </c>
    </row>
    <row r="107" spans="2:9" x14ac:dyDescent="0.3">
      <c r="B107" t="s">
        <v>72</v>
      </c>
      <c r="C107" t="s">
        <v>296</v>
      </c>
      <c r="D107" t="s">
        <v>297</v>
      </c>
      <c r="E107">
        <v>0</v>
      </c>
      <c r="F107">
        <v>10</v>
      </c>
      <c r="I107" t="s">
        <v>25</v>
      </c>
    </row>
    <row r="108" spans="2:9" x14ac:dyDescent="0.3">
      <c r="B108" t="s">
        <v>71</v>
      </c>
      <c r="C108" t="s">
        <v>300</v>
      </c>
      <c r="D108" t="s">
        <v>302</v>
      </c>
      <c r="E108">
        <v>1</v>
      </c>
      <c r="F108">
        <v>10</v>
      </c>
      <c r="I108" t="s">
        <v>105</v>
      </c>
    </row>
    <row r="109" spans="2:9" x14ac:dyDescent="0.3">
      <c r="B109" t="s">
        <v>22</v>
      </c>
      <c r="C109" t="s">
        <v>300</v>
      </c>
      <c r="D109" t="s">
        <v>379</v>
      </c>
      <c r="E109">
        <v>1</v>
      </c>
      <c r="F109">
        <v>100</v>
      </c>
      <c r="I109" t="s">
        <v>68</v>
      </c>
    </row>
    <row r="110" spans="2:9" x14ac:dyDescent="0.3">
      <c r="B110" t="s">
        <v>70</v>
      </c>
      <c r="C110" t="s">
        <v>391</v>
      </c>
      <c r="D110" t="s">
        <v>392</v>
      </c>
      <c r="E110">
        <v>1</v>
      </c>
      <c r="F110">
        <v>10</v>
      </c>
      <c r="I110" t="s">
        <v>112</v>
      </c>
    </row>
    <row r="111" spans="2:9" x14ac:dyDescent="0.3">
      <c r="B111" t="s">
        <v>69</v>
      </c>
      <c r="C111" t="s">
        <v>300</v>
      </c>
      <c r="D111" t="s">
        <v>380</v>
      </c>
      <c r="E111">
        <v>2</v>
      </c>
      <c r="F111">
        <v>10</v>
      </c>
      <c r="I111" t="s">
        <v>22</v>
      </c>
    </row>
    <row r="112" spans="2:9" x14ac:dyDescent="0.3">
      <c r="B112" t="s">
        <v>68</v>
      </c>
      <c r="C112" t="s">
        <v>300</v>
      </c>
      <c r="D112" t="s">
        <v>393</v>
      </c>
      <c r="E112">
        <v>0</v>
      </c>
      <c r="F112">
        <v>10</v>
      </c>
      <c r="I112" t="s">
        <v>134</v>
      </c>
    </row>
    <row r="113" spans="2:9" x14ac:dyDescent="0.3">
      <c r="B113" t="s">
        <v>67</v>
      </c>
      <c r="C113" t="s">
        <v>300</v>
      </c>
      <c r="D113" t="s">
        <v>394</v>
      </c>
      <c r="E113">
        <v>0</v>
      </c>
      <c r="F113">
        <v>10</v>
      </c>
      <c r="I113" t="s">
        <v>58</v>
      </c>
    </row>
    <row r="114" spans="2:9" x14ac:dyDescent="0.3">
      <c r="B114" t="s">
        <v>66</v>
      </c>
      <c r="C114" t="s">
        <v>300</v>
      </c>
      <c r="D114" t="s">
        <v>380</v>
      </c>
      <c r="E114">
        <v>3</v>
      </c>
      <c r="F114">
        <v>10</v>
      </c>
      <c r="I114" t="s">
        <v>128</v>
      </c>
    </row>
    <row r="115" spans="2:9" x14ac:dyDescent="0.3">
      <c r="B115" t="s">
        <v>169</v>
      </c>
      <c r="C115" t="s">
        <v>279</v>
      </c>
      <c r="D115" t="s">
        <v>395</v>
      </c>
      <c r="E115">
        <v>2</v>
      </c>
      <c r="F115">
        <v>100</v>
      </c>
      <c r="I115" t="s">
        <v>56</v>
      </c>
    </row>
    <row r="116" spans="2:9" x14ac:dyDescent="0.3">
      <c r="B116" t="s">
        <v>168</v>
      </c>
      <c r="C116" t="s">
        <v>396</v>
      </c>
      <c r="D116" t="s">
        <v>397</v>
      </c>
      <c r="E116">
        <v>0</v>
      </c>
      <c r="F116">
        <v>100</v>
      </c>
      <c r="I116" t="s">
        <v>6</v>
      </c>
    </row>
    <row r="117" spans="2:9" x14ac:dyDescent="0.3">
      <c r="B117" t="s">
        <v>65</v>
      </c>
      <c r="C117" t="s">
        <v>300</v>
      </c>
      <c r="D117" t="s">
        <v>380</v>
      </c>
      <c r="E117">
        <v>1</v>
      </c>
      <c r="F117">
        <v>10</v>
      </c>
      <c r="I117" t="s">
        <v>135</v>
      </c>
    </row>
    <row r="118" spans="2:9" x14ac:dyDescent="0.3">
      <c r="B118" t="s">
        <v>64</v>
      </c>
      <c r="C118" t="s">
        <v>300</v>
      </c>
      <c r="D118" t="s">
        <v>302</v>
      </c>
      <c r="E118">
        <v>2</v>
      </c>
      <c r="F118">
        <v>10</v>
      </c>
      <c r="I118" t="s">
        <v>137</v>
      </c>
    </row>
    <row r="119" spans="2:9" x14ac:dyDescent="0.3">
      <c r="B119" t="s">
        <v>167</v>
      </c>
      <c r="C119" t="s">
        <v>292</v>
      </c>
      <c r="D119" t="s">
        <v>398</v>
      </c>
      <c r="E119">
        <v>0</v>
      </c>
      <c r="F119">
        <v>100</v>
      </c>
      <c r="I119" t="s">
        <v>84</v>
      </c>
    </row>
    <row r="120" spans="2:9" x14ac:dyDescent="0.3">
      <c r="B120" t="s">
        <v>62</v>
      </c>
      <c r="C120" t="s">
        <v>300</v>
      </c>
      <c r="D120" t="s">
        <v>386</v>
      </c>
      <c r="E120">
        <v>3</v>
      </c>
      <c r="F120">
        <v>10</v>
      </c>
      <c r="I120" t="s">
        <v>77</v>
      </c>
    </row>
    <row r="121" spans="2:9" x14ac:dyDescent="0.3">
      <c r="B121" t="s">
        <v>61</v>
      </c>
      <c r="C121" t="s">
        <v>300</v>
      </c>
      <c r="D121" t="s">
        <v>380</v>
      </c>
      <c r="E121">
        <v>1</v>
      </c>
      <c r="F121">
        <v>10</v>
      </c>
      <c r="I121" t="s">
        <v>126</v>
      </c>
    </row>
    <row r="122" spans="2:9" x14ac:dyDescent="0.3">
      <c r="B122" t="s">
        <v>60</v>
      </c>
      <c r="C122" t="s">
        <v>300</v>
      </c>
      <c r="D122" t="s">
        <v>380</v>
      </c>
      <c r="E122">
        <v>1</v>
      </c>
      <c r="F122">
        <v>10</v>
      </c>
      <c r="I122" t="s">
        <v>17</v>
      </c>
    </row>
    <row r="123" spans="2:9" x14ac:dyDescent="0.3">
      <c r="B123" t="s">
        <v>59</v>
      </c>
      <c r="C123" t="s">
        <v>300</v>
      </c>
      <c r="D123" t="s">
        <v>380</v>
      </c>
      <c r="E123">
        <v>1</v>
      </c>
      <c r="F123">
        <v>10</v>
      </c>
      <c r="I123" t="s">
        <v>16</v>
      </c>
    </row>
    <row r="124" spans="2:9" x14ac:dyDescent="0.3">
      <c r="B124" t="s">
        <v>58</v>
      </c>
      <c r="C124" t="s">
        <v>300</v>
      </c>
      <c r="D124" t="s">
        <v>380</v>
      </c>
      <c r="E124">
        <v>1</v>
      </c>
      <c r="F124">
        <v>10</v>
      </c>
      <c r="I124" t="s">
        <v>117</v>
      </c>
    </row>
    <row r="125" spans="2:9" x14ac:dyDescent="0.3">
      <c r="B125" t="s">
        <v>57</v>
      </c>
      <c r="C125" t="s">
        <v>374</v>
      </c>
      <c r="D125" t="s">
        <v>399</v>
      </c>
      <c r="E125">
        <v>0</v>
      </c>
      <c r="F125">
        <v>10</v>
      </c>
      <c r="I125" t="s">
        <v>130</v>
      </c>
    </row>
    <row r="126" spans="2:9" x14ac:dyDescent="0.3">
      <c r="B126" t="s">
        <v>166</v>
      </c>
      <c r="C126" t="s">
        <v>279</v>
      </c>
      <c r="D126" t="s">
        <v>400</v>
      </c>
      <c r="E126">
        <v>0</v>
      </c>
      <c r="F126">
        <v>100</v>
      </c>
      <c r="I126" t="s">
        <v>121</v>
      </c>
    </row>
    <row r="127" spans="2:9" x14ac:dyDescent="0.3">
      <c r="B127" t="s">
        <v>56</v>
      </c>
      <c r="C127" t="s">
        <v>279</v>
      </c>
      <c r="D127" t="s">
        <v>401</v>
      </c>
      <c r="E127">
        <v>0</v>
      </c>
      <c r="F127">
        <v>10</v>
      </c>
      <c r="I127" t="s">
        <v>9</v>
      </c>
    </row>
    <row r="128" spans="2:9" x14ac:dyDescent="0.3">
      <c r="B128" t="s">
        <v>55</v>
      </c>
      <c r="C128" t="s">
        <v>374</v>
      </c>
      <c r="D128" t="s">
        <v>375</v>
      </c>
      <c r="E128">
        <v>1</v>
      </c>
      <c r="F128">
        <v>10</v>
      </c>
      <c r="I128" t="s">
        <v>64</v>
      </c>
    </row>
    <row r="129" spans="2:9" x14ac:dyDescent="0.3">
      <c r="B129" t="s">
        <v>54</v>
      </c>
      <c r="C129" t="s">
        <v>374</v>
      </c>
      <c r="D129" t="s">
        <v>375</v>
      </c>
      <c r="E129">
        <v>2</v>
      </c>
      <c r="F129">
        <v>10</v>
      </c>
      <c r="I129" t="s">
        <v>178</v>
      </c>
    </row>
    <row r="130" spans="2:9" x14ac:dyDescent="0.3">
      <c r="B130" t="s">
        <v>21</v>
      </c>
      <c r="C130" t="s">
        <v>357</v>
      </c>
      <c r="D130" t="s">
        <v>402</v>
      </c>
      <c r="E130">
        <v>2</v>
      </c>
      <c r="F130">
        <v>100</v>
      </c>
      <c r="I130" t="s">
        <v>122</v>
      </c>
    </row>
    <row r="131" spans="2:9" x14ac:dyDescent="0.3">
      <c r="B131" t="s">
        <v>53</v>
      </c>
      <c r="C131" t="s">
        <v>391</v>
      </c>
      <c r="D131" t="s">
        <v>403</v>
      </c>
      <c r="E131">
        <v>1</v>
      </c>
      <c r="F131">
        <v>10</v>
      </c>
    </row>
    <row r="132" spans="2:9" x14ac:dyDescent="0.3">
      <c r="B132" t="s">
        <v>165</v>
      </c>
      <c r="C132" t="s">
        <v>279</v>
      </c>
      <c r="D132" t="s">
        <v>400</v>
      </c>
      <c r="E132">
        <v>0</v>
      </c>
      <c r="F132">
        <v>100</v>
      </c>
    </row>
    <row r="133" spans="2:9" x14ac:dyDescent="0.3">
      <c r="B133" t="s">
        <v>52</v>
      </c>
      <c r="C133" t="s">
        <v>404</v>
      </c>
      <c r="D133" t="s">
        <v>405</v>
      </c>
      <c r="E133">
        <v>0</v>
      </c>
      <c r="F133">
        <v>10</v>
      </c>
    </row>
    <row r="134" spans="2:9" x14ac:dyDescent="0.3">
      <c r="B134" t="s">
        <v>51</v>
      </c>
      <c r="C134" t="s">
        <v>391</v>
      </c>
      <c r="D134" t="s">
        <v>392</v>
      </c>
      <c r="E134">
        <v>2</v>
      </c>
      <c r="F134">
        <v>10</v>
      </c>
    </row>
    <row r="135" spans="2:9" x14ac:dyDescent="0.3">
      <c r="B135" t="s">
        <v>50</v>
      </c>
      <c r="C135" t="s">
        <v>283</v>
      </c>
      <c r="D135" t="s">
        <v>341</v>
      </c>
      <c r="E135">
        <v>0</v>
      </c>
      <c r="F135">
        <v>10</v>
      </c>
    </row>
    <row r="136" spans="2:9" x14ac:dyDescent="0.3">
      <c r="B136" t="s">
        <v>49</v>
      </c>
      <c r="C136" t="s">
        <v>300</v>
      </c>
      <c r="D136" t="s">
        <v>346</v>
      </c>
      <c r="E136">
        <v>2</v>
      </c>
      <c r="F136">
        <v>10</v>
      </c>
    </row>
    <row r="137" spans="2:9" x14ac:dyDescent="0.3">
      <c r="B137" t="s">
        <v>164</v>
      </c>
      <c r="C137" t="s">
        <v>288</v>
      </c>
      <c r="D137" t="s">
        <v>303</v>
      </c>
      <c r="E137">
        <v>3</v>
      </c>
      <c r="F137">
        <v>100</v>
      </c>
    </row>
    <row r="138" spans="2:9" x14ac:dyDescent="0.3">
      <c r="B138" t="s">
        <v>48</v>
      </c>
      <c r="C138" t="s">
        <v>404</v>
      </c>
      <c r="D138" t="s">
        <v>405</v>
      </c>
      <c r="E138">
        <v>2</v>
      </c>
      <c r="F138">
        <v>10</v>
      </c>
    </row>
    <row r="139" spans="2:9" x14ac:dyDescent="0.3">
      <c r="B139" t="s">
        <v>6</v>
      </c>
      <c r="C139" t="s">
        <v>300</v>
      </c>
      <c r="D139" t="s">
        <v>406</v>
      </c>
      <c r="E139">
        <v>0</v>
      </c>
      <c r="F139">
        <v>0</v>
      </c>
    </row>
    <row r="140" spans="2:9" x14ac:dyDescent="0.3">
      <c r="B140" t="s">
        <v>47</v>
      </c>
      <c r="C140" t="s">
        <v>344</v>
      </c>
      <c r="D140" t="s">
        <v>345</v>
      </c>
      <c r="E140">
        <v>2</v>
      </c>
      <c r="F140">
        <v>10</v>
      </c>
    </row>
    <row r="141" spans="2:9" x14ac:dyDescent="0.3">
      <c r="B141" t="s">
        <v>46</v>
      </c>
      <c r="C141" t="s">
        <v>344</v>
      </c>
      <c r="D141" t="s">
        <v>407</v>
      </c>
      <c r="E141">
        <v>0</v>
      </c>
      <c r="F141">
        <v>10</v>
      </c>
    </row>
    <row r="142" spans="2:9" x14ac:dyDescent="0.3">
      <c r="B142" t="s">
        <v>163</v>
      </c>
      <c r="C142" t="s">
        <v>292</v>
      </c>
      <c r="D142" t="s">
        <v>299</v>
      </c>
      <c r="E142">
        <v>0</v>
      </c>
      <c r="F142">
        <v>100</v>
      </c>
    </row>
    <row r="143" spans="2:9" x14ac:dyDescent="0.3">
      <c r="B143" t="s">
        <v>45</v>
      </c>
      <c r="C143" t="s">
        <v>408</v>
      </c>
      <c r="D143" t="s">
        <v>409</v>
      </c>
      <c r="E143">
        <v>2</v>
      </c>
      <c r="F143">
        <v>10</v>
      </c>
    </row>
    <row r="144" spans="2:9" x14ac:dyDescent="0.3">
      <c r="B144" t="s">
        <v>162</v>
      </c>
      <c r="C144" t="s">
        <v>288</v>
      </c>
      <c r="D144" t="s">
        <v>410</v>
      </c>
      <c r="E144">
        <v>1</v>
      </c>
      <c r="F144">
        <v>100</v>
      </c>
    </row>
    <row r="145" spans="2:6" x14ac:dyDescent="0.3">
      <c r="B145" t="s">
        <v>161</v>
      </c>
      <c r="C145" t="s">
        <v>292</v>
      </c>
      <c r="D145" t="s">
        <v>299</v>
      </c>
      <c r="E145">
        <v>0</v>
      </c>
      <c r="F145">
        <v>100</v>
      </c>
    </row>
    <row r="146" spans="2:6" x14ac:dyDescent="0.3">
      <c r="B146" t="s">
        <v>44</v>
      </c>
      <c r="C146" t="s">
        <v>344</v>
      </c>
      <c r="D146" t="s">
        <v>407</v>
      </c>
      <c r="E146">
        <v>1</v>
      </c>
      <c r="F146">
        <v>10</v>
      </c>
    </row>
    <row r="147" spans="2:6" x14ac:dyDescent="0.3">
      <c r="B147" t="s">
        <v>160</v>
      </c>
      <c r="C147" t="s">
        <v>292</v>
      </c>
      <c r="D147" t="s">
        <v>299</v>
      </c>
      <c r="E147">
        <v>2</v>
      </c>
      <c r="F147">
        <v>100</v>
      </c>
    </row>
    <row r="148" spans="2:6" x14ac:dyDescent="0.3">
      <c r="B148" t="s">
        <v>43</v>
      </c>
      <c r="C148" t="s">
        <v>349</v>
      </c>
      <c r="D148" t="s">
        <v>411</v>
      </c>
      <c r="E148">
        <v>1</v>
      </c>
      <c r="F148">
        <v>10</v>
      </c>
    </row>
    <row r="149" spans="2:6" x14ac:dyDescent="0.3">
      <c r="B149" t="s">
        <v>42</v>
      </c>
      <c r="C149" t="s">
        <v>300</v>
      </c>
      <c r="D149" t="s">
        <v>302</v>
      </c>
      <c r="E149">
        <v>1</v>
      </c>
      <c r="F149">
        <v>10</v>
      </c>
    </row>
    <row r="150" spans="2:6" x14ac:dyDescent="0.3">
      <c r="B150" t="s">
        <v>41</v>
      </c>
      <c r="C150" t="s">
        <v>368</v>
      </c>
      <c r="D150" t="s">
        <v>412</v>
      </c>
      <c r="E150">
        <v>1</v>
      </c>
      <c r="F150">
        <v>10</v>
      </c>
    </row>
    <row r="151" spans="2:6" x14ac:dyDescent="0.3">
      <c r="B151" t="s">
        <v>159</v>
      </c>
      <c r="C151" t="s">
        <v>288</v>
      </c>
      <c r="D151" t="s">
        <v>446</v>
      </c>
      <c r="E151">
        <v>1</v>
      </c>
      <c r="F151">
        <v>100</v>
      </c>
    </row>
    <row r="152" spans="2:6" x14ac:dyDescent="0.3">
      <c r="B152" t="s">
        <v>20</v>
      </c>
      <c r="C152" t="s">
        <v>300</v>
      </c>
      <c r="D152" t="s">
        <v>413</v>
      </c>
      <c r="E152">
        <v>2</v>
      </c>
      <c r="F152">
        <v>100</v>
      </c>
    </row>
    <row r="153" spans="2:6" x14ac:dyDescent="0.3">
      <c r="B153" t="s">
        <v>19</v>
      </c>
      <c r="C153" t="s">
        <v>279</v>
      </c>
      <c r="D153" t="s">
        <v>414</v>
      </c>
      <c r="E153">
        <v>2</v>
      </c>
      <c r="F153">
        <v>100</v>
      </c>
    </row>
    <row r="154" spans="2:6" x14ac:dyDescent="0.3">
      <c r="B154" t="s">
        <v>158</v>
      </c>
      <c r="C154" t="s">
        <v>313</v>
      </c>
      <c r="D154" t="s">
        <v>339</v>
      </c>
      <c r="E154">
        <v>0</v>
      </c>
      <c r="F154">
        <v>100</v>
      </c>
    </row>
    <row r="155" spans="2:6" x14ac:dyDescent="0.3">
      <c r="B155" t="s">
        <v>40</v>
      </c>
      <c r="C155" t="s">
        <v>300</v>
      </c>
      <c r="D155" t="s">
        <v>380</v>
      </c>
      <c r="E155">
        <v>2</v>
      </c>
      <c r="F155">
        <v>10</v>
      </c>
    </row>
    <row r="156" spans="2:6" x14ac:dyDescent="0.3">
      <c r="B156" t="s">
        <v>4</v>
      </c>
      <c r="C156" t="s">
        <v>317</v>
      </c>
      <c r="D156" t="s">
        <v>415</v>
      </c>
      <c r="E156">
        <v>1</v>
      </c>
      <c r="F156">
        <v>0</v>
      </c>
    </row>
    <row r="157" spans="2:6" x14ac:dyDescent="0.3">
      <c r="B157" t="s">
        <v>18</v>
      </c>
      <c r="C157" t="s">
        <v>294</v>
      </c>
      <c r="D157" t="s">
        <v>416</v>
      </c>
      <c r="E157">
        <v>2</v>
      </c>
      <c r="F157">
        <v>100</v>
      </c>
    </row>
    <row r="158" spans="2:6" x14ac:dyDescent="0.3">
      <c r="B158" t="s">
        <v>17</v>
      </c>
      <c r="C158" t="s">
        <v>300</v>
      </c>
      <c r="D158" t="s">
        <v>413</v>
      </c>
      <c r="E158">
        <v>2</v>
      </c>
      <c r="F158">
        <v>100</v>
      </c>
    </row>
    <row r="159" spans="2:6" x14ac:dyDescent="0.3">
      <c r="B159" t="s">
        <v>16</v>
      </c>
      <c r="C159" t="s">
        <v>417</v>
      </c>
      <c r="D159" t="s">
        <v>418</v>
      </c>
      <c r="E159">
        <v>2</v>
      </c>
      <c r="F159">
        <v>100</v>
      </c>
    </row>
    <row r="160" spans="2:6" x14ac:dyDescent="0.3">
      <c r="B160" t="s">
        <v>2</v>
      </c>
      <c r="C160" t="s">
        <v>296</v>
      </c>
      <c r="D160" t="s">
        <v>419</v>
      </c>
      <c r="E160">
        <v>2</v>
      </c>
      <c r="F160">
        <v>0</v>
      </c>
    </row>
    <row r="161" spans="2:6" x14ac:dyDescent="0.3">
      <c r="B161" t="s">
        <v>39</v>
      </c>
      <c r="C161" t="s">
        <v>290</v>
      </c>
      <c r="D161" t="s">
        <v>420</v>
      </c>
      <c r="E161">
        <v>0</v>
      </c>
      <c r="F161">
        <v>10</v>
      </c>
    </row>
    <row r="162" spans="2:6" x14ac:dyDescent="0.3">
      <c r="B162" t="s">
        <v>38</v>
      </c>
      <c r="C162" t="s">
        <v>300</v>
      </c>
      <c r="D162" t="s">
        <v>301</v>
      </c>
      <c r="E162">
        <v>1</v>
      </c>
      <c r="F162">
        <v>10</v>
      </c>
    </row>
    <row r="163" spans="2:6" x14ac:dyDescent="0.3">
      <c r="B163" t="s">
        <v>37</v>
      </c>
      <c r="C163" t="s">
        <v>315</v>
      </c>
      <c r="D163" t="s">
        <v>421</v>
      </c>
      <c r="E163">
        <v>2</v>
      </c>
      <c r="F163">
        <v>10</v>
      </c>
    </row>
    <row r="164" spans="2:6" x14ac:dyDescent="0.3">
      <c r="B164" t="s">
        <v>36</v>
      </c>
      <c r="C164" t="s">
        <v>300</v>
      </c>
      <c r="D164" t="s">
        <v>422</v>
      </c>
      <c r="E164">
        <v>1</v>
      </c>
      <c r="F164">
        <v>10</v>
      </c>
    </row>
    <row r="165" spans="2:6" x14ac:dyDescent="0.3">
      <c r="B165" t="s">
        <v>157</v>
      </c>
      <c r="C165" t="s">
        <v>423</v>
      </c>
      <c r="D165" t="s">
        <v>424</v>
      </c>
      <c r="E165">
        <v>1</v>
      </c>
      <c r="F165">
        <v>100</v>
      </c>
    </row>
    <row r="166" spans="2:6" x14ac:dyDescent="0.3">
      <c r="B166" t="s">
        <v>156</v>
      </c>
      <c r="C166" t="s">
        <v>425</v>
      </c>
      <c r="D166" t="s">
        <v>426</v>
      </c>
      <c r="E166">
        <v>2</v>
      </c>
      <c r="F166">
        <v>100</v>
      </c>
    </row>
    <row r="167" spans="2:6" x14ac:dyDescent="0.3">
      <c r="B167" t="s">
        <v>155</v>
      </c>
      <c r="C167" t="s">
        <v>292</v>
      </c>
      <c r="D167" t="s">
        <v>299</v>
      </c>
      <c r="E167">
        <v>2</v>
      </c>
      <c r="F167">
        <v>100</v>
      </c>
    </row>
    <row r="168" spans="2:6" x14ac:dyDescent="0.3">
      <c r="B168" t="s">
        <v>15</v>
      </c>
      <c r="C168" t="s">
        <v>334</v>
      </c>
      <c r="D168" t="s">
        <v>427</v>
      </c>
      <c r="E168">
        <v>2</v>
      </c>
      <c r="F168">
        <v>100</v>
      </c>
    </row>
    <row r="169" spans="2:6" x14ac:dyDescent="0.3">
      <c r="B169" t="s">
        <v>154</v>
      </c>
      <c r="C169" t="s">
        <v>292</v>
      </c>
      <c r="D169" t="s">
        <v>299</v>
      </c>
      <c r="E169">
        <v>0</v>
      </c>
      <c r="F169">
        <v>100</v>
      </c>
    </row>
    <row r="170" spans="2:6" x14ac:dyDescent="0.3">
      <c r="B170" t="s">
        <v>153</v>
      </c>
      <c r="C170" t="s">
        <v>374</v>
      </c>
      <c r="D170" t="s">
        <v>428</v>
      </c>
      <c r="E170">
        <v>2</v>
      </c>
      <c r="F170">
        <v>100</v>
      </c>
    </row>
    <row r="171" spans="2:6" x14ac:dyDescent="0.3">
      <c r="B171" t="s">
        <v>152</v>
      </c>
      <c r="C171" t="s">
        <v>374</v>
      </c>
      <c r="D171" t="s">
        <v>428</v>
      </c>
      <c r="E171">
        <v>2</v>
      </c>
      <c r="F171">
        <v>100</v>
      </c>
    </row>
    <row r="172" spans="2:6" x14ac:dyDescent="0.3">
      <c r="B172" t="s">
        <v>151</v>
      </c>
      <c r="C172" t="s">
        <v>374</v>
      </c>
      <c r="D172" t="s">
        <v>429</v>
      </c>
      <c r="E172">
        <v>1</v>
      </c>
      <c r="F172">
        <v>100</v>
      </c>
    </row>
    <row r="173" spans="2:6" x14ac:dyDescent="0.3">
      <c r="B173" t="s">
        <v>150</v>
      </c>
      <c r="C173" t="s">
        <v>374</v>
      </c>
      <c r="D173" t="s">
        <v>428</v>
      </c>
      <c r="E173">
        <v>0</v>
      </c>
      <c r="F173">
        <v>100</v>
      </c>
    </row>
    <row r="174" spans="2:6" x14ac:dyDescent="0.3">
      <c r="B174" t="s">
        <v>149</v>
      </c>
      <c r="C174" t="s">
        <v>374</v>
      </c>
      <c r="D174" t="s">
        <v>428</v>
      </c>
      <c r="E174">
        <v>2</v>
      </c>
      <c r="F174">
        <v>100</v>
      </c>
    </row>
    <row r="175" spans="2:6" x14ac:dyDescent="0.3">
      <c r="B175" t="s">
        <v>148</v>
      </c>
      <c r="C175" t="s">
        <v>374</v>
      </c>
      <c r="D175" t="s">
        <v>428</v>
      </c>
      <c r="E175">
        <v>0</v>
      </c>
      <c r="F175">
        <v>100</v>
      </c>
    </row>
    <row r="176" spans="2:6" x14ac:dyDescent="0.3">
      <c r="B176" t="s">
        <v>147</v>
      </c>
      <c r="C176" t="s">
        <v>374</v>
      </c>
      <c r="D176" t="s">
        <v>428</v>
      </c>
      <c r="E176">
        <v>0</v>
      </c>
      <c r="F176">
        <v>100</v>
      </c>
    </row>
    <row r="177" spans="2:6" x14ac:dyDescent="0.3">
      <c r="B177" t="s">
        <v>35</v>
      </c>
      <c r="C177" t="s">
        <v>408</v>
      </c>
      <c r="D177" t="s">
        <v>430</v>
      </c>
      <c r="E177">
        <v>1</v>
      </c>
      <c r="F177">
        <v>10</v>
      </c>
    </row>
    <row r="178" spans="2:6" x14ac:dyDescent="0.3">
      <c r="B178" t="s">
        <v>431</v>
      </c>
      <c r="C178" t="s">
        <v>432</v>
      </c>
      <c r="D178" t="s">
        <v>433</v>
      </c>
      <c r="E178">
        <v>2</v>
      </c>
      <c r="F178">
        <v>100</v>
      </c>
    </row>
    <row r="179" spans="2:6" x14ac:dyDescent="0.3">
      <c r="B179" t="s">
        <v>434</v>
      </c>
      <c r="C179" t="s">
        <v>320</v>
      </c>
      <c r="D179" t="s">
        <v>435</v>
      </c>
      <c r="E179">
        <v>1</v>
      </c>
      <c r="F179">
        <v>100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8618E0-E063-4A67-AB36-11FBE2F0E507}">
  <sheetPr codeName="Sheet1"/>
  <dimension ref="B1:G181"/>
  <sheetViews>
    <sheetView showGridLines="0" workbookViewId="0"/>
  </sheetViews>
  <sheetFormatPr defaultRowHeight="18.75" x14ac:dyDescent="0.3"/>
  <cols>
    <col min="2" max="2" width="42.3984375" bestFit="1" customWidth="1"/>
    <col min="3" max="3" width="35.8984375" bestFit="1" customWidth="1"/>
    <col min="4" max="4" width="50.59765625" bestFit="1" customWidth="1"/>
    <col min="5" max="5" width="9.69921875" bestFit="1" customWidth="1"/>
    <col min="6" max="6" width="12.69921875" bestFit="1" customWidth="1"/>
    <col min="7" max="7" width="8.19921875" bestFit="1" customWidth="1"/>
    <col min="8" max="8" width="9.19921875" bestFit="1" customWidth="1"/>
  </cols>
  <sheetData>
    <row r="1" spans="2:7" ht="19.5" thickBot="1" x14ac:dyDescent="0.35"/>
    <row r="2" spans="2:7" ht="19.5" thickBot="1" x14ac:dyDescent="0.35">
      <c r="B2" s="11" t="s">
        <v>444</v>
      </c>
      <c r="C2" s="12" t="s">
        <v>445</v>
      </c>
      <c r="D2" t="s">
        <v>449</v>
      </c>
    </row>
    <row r="4" spans="2:7" x14ac:dyDescent="0.3">
      <c r="B4" t="s">
        <v>0</v>
      </c>
      <c r="C4" t="s">
        <v>272</v>
      </c>
      <c r="D4" t="s">
        <v>273</v>
      </c>
      <c r="E4" t="s">
        <v>1</v>
      </c>
      <c r="F4" t="s">
        <v>448</v>
      </c>
      <c r="G4" t="s">
        <v>447</v>
      </c>
    </row>
    <row r="5" spans="2:7" x14ac:dyDescent="0.3">
      <c r="B5" t="s">
        <v>151</v>
      </c>
      <c r="C5" t="s">
        <v>374</v>
      </c>
      <c r="D5" t="s">
        <v>429</v>
      </c>
      <c r="E5" t="s">
        <v>5</v>
      </c>
      <c r="F5" t="s">
        <v>443</v>
      </c>
      <c r="G5" t="b">
        <v>0</v>
      </c>
    </row>
    <row r="6" spans="2:7" x14ac:dyDescent="0.3">
      <c r="B6" t="s">
        <v>82</v>
      </c>
      <c r="C6" t="s">
        <v>290</v>
      </c>
      <c r="D6" t="s">
        <v>381</v>
      </c>
      <c r="E6" t="s">
        <v>5</v>
      </c>
      <c r="F6" t="s">
        <v>442</v>
      </c>
      <c r="G6" t="b">
        <v>1</v>
      </c>
    </row>
    <row r="7" spans="2:7" x14ac:dyDescent="0.3">
      <c r="B7" t="s">
        <v>153</v>
      </c>
      <c r="C7" t="s">
        <v>374</v>
      </c>
      <c r="D7" t="s">
        <v>428</v>
      </c>
      <c r="E7" t="s">
        <v>3</v>
      </c>
      <c r="F7" t="s">
        <v>443</v>
      </c>
      <c r="G7" t="b">
        <v>0</v>
      </c>
    </row>
    <row r="8" spans="2:7" x14ac:dyDescent="0.3">
      <c r="B8" t="s">
        <v>37</v>
      </c>
      <c r="C8" t="s">
        <v>315</v>
      </c>
      <c r="D8" t="s">
        <v>421</v>
      </c>
      <c r="E8" t="s">
        <v>3</v>
      </c>
      <c r="F8" t="s">
        <v>442</v>
      </c>
      <c r="G8" t="b">
        <v>1</v>
      </c>
    </row>
    <row r="9" spans="2:7" x14ac:dyDescent="0.3">
      <c r="B9" t="s">
        <v>49</v>
      </c>
      <c r="C9" t="s">
        <v>300</v>
      </c>
      <c r="D9" t="s">
        <v>346</v>
      </c>
      <c r="E9" t="s">
        <v>3</v>
      </c>
      <c r="F9" t="s">
        <v>442</v>
      </c>
      <c r="G9" t="b">
        <v>1</v>
      </c>
    </row>
    <row r="10" spans="2:7" x14ac:dyDescent="0.3">
      <c r="B10" t="s">
        <v>162</v>
      </c>
      <c r="C10" t="s">
        <v>288</v>
      </c>
      <c r="D10" t="s">
        <v>410</v>
      </c>
      <c r="E10" t="s">
        <v>5</v>
      </c>
      <c r="F10" t="s">
        <v>443</v>
      </c>
      <c r="G10" t="b">
        <v>0</v>
      </c>
    </row>
    <row r="11" spans="2:7" x14ac:dyDescent="0.3">
      <c r="B11" t="s">
        <v>164</v>
      </c>
      <c r="C11" t="s">
        <v>288</v>
      </c>
      <c r="D11" t="s">
        <v>303</v>
      </c>
      <c r="E11" t="s">
        <v>63</v>
      </c>
      <c r="F11" t="s">
        <v>443</v>
      </c>
      <c r="G11" t="b">
        <v>0</v>
      </c>
    </row>
    <row r="12" spans="2:7" x14ac:dyDescent="0.3">
      <c r="B12" t="s">
        <v>75</v>
      </c>
      <c r="C12" t="s">
        <v>300</v>
      </c>
      <c r="D12" t="s">
        <v>386</v>
      </c>
      <c r="E12" t="s">
        <v>7</v>
      </c>
      <c r="F12" t="s">
        <v>442</v>
      </c>
      <c r="G12" t="b">
        <v>1</v>
      </c>
    </row>
    <row r="13" spans="2:7" x14ac:dyDescent="0.3">
      <c r="B13" t="s">
        <v>163</v>
      </c>
      <c r="C13" t="s">
        <v>292</v>
      </c>
      <c r="D13" t="s">
        <v>299</v>
      </c>
      <c r="E13" t="s">
        <v>7</v>
      </c>
      <c r="F13" t="s">
        <v>443</v>
      </c>
      <c r="G13" t="b">
        <v>0</v>
      </c>
    </row>
    <row r="14" spans="2:7" x14ac:dyDescent="0.3">
      <c r="B14" t="s">
        <v>168</v>
      </c>
      <c r="C14" t="s">
        <v>396</v>
      </c>
      <c r="D14" t="s">
        <v>397</v>
      </c>
      <c r="E14" t="s">
        <v>7</v>
      </c>
      <c r="F14" t="s">
        <v>443</v>
      </c>
      <c r="G14" t="b">
        <v>0</v>
      </c>
    </row>
    <row r="15" spans="2:7" x14ac:dyDescent="0.3">
      <c r="B15" t="s">
        <v>124</v>
      </c>
      <c r="C15" t="s">
        <v>320</v>
      </c>
      <c r="D15" t="s">
        <v>321</v>
      </c>
      <c r="E15" t="s">
        <v>5</v>
      </c>
      <c r="F15" t="s">
        <v>442</v>
      </c>
      <c r="G15" t="b">
        <v>1</v>
      </c>
    </row>
    <row r="16" spans="2:7" x14ac:dyDescent="0.3">
      <c r="B16" t="s">
        <v>133</v>
      </c>
      <c r="C16" t="s">
        <v>300</v>
      </c>
      <c r="D16" t="s">
        <v>302</v>
      </c>
      <c r="E16" t="s">
        <v>5</v>
      </c>
      <c r="F16" t="s">
        <v>442</v>
      </c>
      <c r="G16" t="b">
        <v>1</v>
      </c>
    </row>
    <row r="17" spans="2:7" x14ac:dyDescent="0.3">
      <c r="B17" t="s">
        <v>127</v>
      </c>
      <c r="C17" t="s">
        <v>317</v>
      </c>
      <c r="D17" t="s">
        <v>318</v>
      </c>
      <c r="E17" t="s">
        <v>5</v>
      </c>
      <c r="F17" t="s">
        <v>442</v>
      </c>
      <c r="G17" t="b">
        <v>1</v>
      </c>
    </row>
    <row r="18" spans="2:7" x14ac:dyDescent="0.3">
      <c r="B18" t="s">
        <v>4</v>
      </c>
      <c r="C18" t="s">
        <v>317</v>
      </c>
      <c r="D18" t="s">
        <v>415</v>
      </c>
      <c r="E18" t="s">
        <v>5</v>
      </c>
      <c r="F18" t="s">
        <v>441</v>
      </c>
      <c r="G18" t="b">
        <v>1</v>
      </c>
    </row>
    <row r="19" spans="2:7" x14ac:dyDescent="0.3">
      <c r="B19" t="s">
        <v>107</v>
      </c>
      <c r="C19" t="s">
        <v>349</v>
      </c>
      <c r="D19" t="s">
        <v>350</v>
      </c>
      <c r="E19" t="s">
        <v>63</v>
      </c>
      <c r="F19" t="s">
        <v>442</v>
      </c>
      <c r="G19" t="b">
        <v>1</v>
      </c>
    </row>
    <row r="20" spans="2:7" x14ac:dyDescent="0.3">
      <c r="B20" t="s">
        <v>116</v>
      </c>
      <c r="C20" t="s">
        <v>283</v>
      </c>
      <c r="D20" t="s">
        <v>341</v>
      </c>
      <c r="E20" t="s">
        <v>5</v>
      </c>
      <c r="F20" t="s">
        <v>442</v>
      </c>
      <c r="G20" t="b">
        <v>1</v>
      </c>
    </row>
    <row r="21" spans="2:7" x14ac:dyDescent="0.3">
      <c r="B21" t="s">
        <v>86</v>
      </c>
      <c r="C21" t="s">
        <v>300</v>
      </c>
      <c r="D21" t="s">
        <v>380</v>
      </c>
      <c r="E21" t="s">
        <v>7</v>
      </c>
      <c r="F21" t="s">
        <v>442</v>
      </c>
      <c r="G21" t="b">
        <v>1</v>
      </c>
    </row>
    <row r="22" spans="2:7" x14ac:dyDescent="0.3">
      <c r="B22" t="s">
        <v>50</v>
      </c>
      <c r="C22" t="s">
        <v>283</v>
      </c>
      <c r="D22" t="s">
        <v>341</v>
      </c>
      <c r="E22" t="s">
        <v>7</v>
      </c>
      <c r="F22" t="s">
        <v>442</v>
      </c>
      <c r="G22" t="b">
        <v>1</v>
      </c>
    </row>
    <row r="23" spans="2:7" x14ac:dyDescent="0.3">
      <c r="B23" t="s">
        <v>57</v>
      </c>
      <c r="C23" t="s">
        <v>374</v>
      </c>
      <c r="D23" t="s">
        <v>399</v>
      </c>
      <c r="E23" t="s">
        <v>7</v>
      </c>
      <c r="F23" t="s">
        <v>442</v>
      </c>
      <c r="G23" t="b">
        <v>0</v>
      </c>
    </row>
    <row r="24" spans="2:7" x14ac:dyDescent="0.3">
      <c r="B24" t="s">
        <v>60</v>
      </c>
      <c r="C24" t="s">
        <v>300</v>
      </c>
      <c r="D24" t="s">
        <v>380</v>
      </c>
      <c r="E24" t="s">
        <v>5</v>
      </c>
      <c r="F24" t="s">
        <v>442</v>
      </c>
      <c r="G24" t="b">
        <v>1</v>
      </c>
    </row>
    <row r="25" spans="2:7" x14ac:dyDescent="0.3">
      <c r="B25" t="s">
        <v>31</v>
      </c>
      <c r="C25" t="s">
        <v>277</v>
      </c>
      <c r="D25" t="s">
        <v>351</v>
      </c>
      <c r="E25" t="s">
        <v>5</v>
      </c>
      <c r="F25" t="s">
        <v>443</v>
      </c>
      <c r="G25" t="b">
        <v>1</v>
      </c>
    </row>
    <row r="26" spans="2:7" x14ac:dyDescent="0.3">
      <c r="B26" t="s">
        <v>173</v>
      </c>
      <c r="C26" t="s">
        <v>275</v>
      </c>
      <c r="D26" t="s">
        <v>326</v>
      </c>
      <c r="E26" t="s">
        <v>5</v>
      </c>
      <c r="F26" t="s">
        <v>443</v>
      </c>
      <c r="G26" t="b">
        <v>1</v>
      </c>
    </row>
    <row r="27" spans="2:7" x14ac:dyDescent="0.3">
      <c r="B27" t="s">
        <v>71</v>
      </c>
      <c r="C27" t="s">
        <v>300</v>
      </c>
      <c r="D27" t="s">
        <v>302</v>
      </c>
      <c r="E27" t="s">
        <v>5</v>
      </c>
      <c r="F27" t="s">
        <v>442</v>
      </c>
      <c r="G27" t="b">
        <v>1</v>
      </c>
    </row>
    <row r="28" spans="2:7" x14ac:dyDescent="0.3">
      <c r="B28" t="s">
        <v>18</v>
      </c>
      <c r="C28" t="s">
        <v>294</v>
      </c>
      <c r="D28" t="s">
        <v>416</v>
      </c>
      <c r="E28" t="s">
        <v>3</v>
      </c>
      <c r="F28" t="s">
        <v>443</v>
      </c>
      <c r="G28" t="b">
        <v>1</v>
      </c>
    </row>
    <row r="29" spans="2:7" x14ac:dyDescent="0.3">
      <c r="B29" t="s">
        <v>65</v>
      </c>
      <c r="C29" t="s">
        <v>300</v>
      </c>
      <c r="D29" t="s">
        <v>380</v>
      </c>
      <c r="E29" t="s">
        <v>5</v>
      </c>
      <c r="F29" t="s">
        <v>442</v>
      </c>
      <c r="G29" t="b">
        <v>1</v>
      </c>
    </row>
    <row r="30" spans="2:7" x14ac:dyDescent="0.3">
      <c r="B30" t="s">
        <v>154</v>
      </c>
      <c r="C30" t="s">
        <v>292</v>
      </c>
      <c r="D30" t="s">
        <v>299</v>
      </c>
      <c r="E30" t="s">
        <v>7</v>
      </c>
      <c r="F30" t="s">
        <v>443</v>
      </c>
      <c r="G30" t="b">
        <v>0</v>
      </c>
    </row>
    <row r="31" spans="2:7" x14ac:dyDescent="0.3">
      <c r="B31" t="s">
        <v>139</v>
      </c>
      <c r="C31" t="s">
        <v>288</v>
      </c>
      <c r="D31" t="s">
        <v>289</v>
      </c>
      <c r="E31" t="s">
        <v>5</v>
      </c>
      <c r="F31" t="s">
        <v>442</v>
      </c>
      <c r="G31" t="b">
        <v>1</v>
      </c>
    </row>
    <row r="32" spans="2:7" x14ac:dyDescent="0.3">
      <c r="B32" t="s">
        <v>42</v>
      </c>
      <c r="C32" t="s">
        <v>300</v>
      </c>
      <c r="D32" t="s">
        <v>302</v>
      </c>
      <c r="E32" t="s">
        <v>5</v>
      </c>
      <c r="F32" t="s">
        <v>442</v>
      </c>
      <c r="G32" t="b">
        <v>1</v>
      </c>
    </row>
    <row r="33" spans="2:7" x14ac:dyDescent="0.3">
      <c r="B33" t="s">
        <v>72</v>
      </c>
      <c r="C33" t="s">
        <v>296</v>
      </c>
      <c r="D33" t="s">
        <v>297</v>
      </c>
      <c r="E33" t="s">
        <v>7</v>
      </c>
      <c r="F33" t="s">
        <v>442</v>
      </c>
      <c r="G33" t="b">
        <v>0</v>
      </c>
    </row>
    <row r="34" spans="2:7" x14ac:dyDescent="0.3">
      <c r="B34" t="s">
        <v>144</v>
      </c>
      <c r="C34" t="s">
        <v>279</v>
      </c>
      <c r="D34" t="s">
        <v>280</v>
      </c>
      <c r="E34" t="s">
        <v>63</v>
      </c>
      <c r="F34" t="s">
        <v>442</v>
      </c>
      <c r="G34" t="b">
        <v>1</v>
      </c>
    </row>
    <row r="35" spans="2:7" x14ac:dyDescent="0.3">
      <c r="B35" t="s">
        <v>155</v>
      </c>
      <c r="C35" t="s">
        <v>292</v>
      </c>
      <c r="D35" t="s">
        <v>299</v>
      </c>
      <c r="E35" t="s">
        <v>3</v>
      </c>
      <c r="F35" t="s">
        <v>443</v>
      </c>
      <c r="G35" t="b">
        <v>0</v>
      </c>
    </row>
    <row r="36" spans="2:7" x14ac:dyDescent="0.3">
      <c r="B36" t="s">
        <v>45</v>
      </c>
      <c r="C36" t="s">
        <v>408</v>
      </c>
      <c r="D36" t="s">
        <v>409</v>
      </c>
      <c r="E36" t="s">
        <v>3</v>
      </c>
      <c r="F36" t="s">
        <v>442</v>
      </c>
      <c r="G36" t="b">
        <v>1</v>
      </c>
    </row>
    <row r="37" spans="2:7" x14ac:dyDescent="0.3">
      <c r="B37" t="s">
        <v>103</v>
      </c>
      <c r="C37" t="s">
        <v>344</v>
      </c>
      <c r="D37" t="s">
        <v>354</v>
      </c>
      <c r="E37" t="s">
        <v>7</v>
      </c>
      <c r="F37" t="s">
        <v>442</v>
      </c>
      <c r="G37" t="b">
        <v>1</v>
      </c>
    </row>
    <row r="38" spans="2:7" x14ac:dyDescent="0.3">
      <c r="B38" t="s">
        <v>175</v>
      </c>
      <c r="C38" t="s">
        <v>292</v>
      </c>
      <c r="D38" t="s">
        <v>323</v>
      </c>
      <c r="E38" t="s">
        <v>7</v>
      </c>
      <c r="F38" t="s">
        <v>443</v>
      </c>
      <c r="G38" t="b">
        <v>1</v>
      </c>
    </row>
    <row r="39" spans="2:7" x14ac:dyDescent="0.3">
      <c r="B39" t="s">
        <v>51</v>
      </c>
      <c r="C39" t="s">
        <v>391</v>
      </c>
      <c r="D39" t="s">
        <v>392</v>
      </c>
      <c r="E39" t="s">
        <v>3</v>
      </c>
      <c r="F39" t="s">
        <v>442</v>
      </c>
      <c r="G39" t="b">
        <v>0</v>
      </c>
    </row>
    <row r="40" spans="2:7" x14ac:dyDescent="0.3">
      <c r="B40" t="s">
        <v>109</v>
      </c>
      <c r="C40" t="s">
        <v>290</v>
      </c>
      <c r="D40" t="s">
        <v>306</v>
      </c>
      <c r="E40" t="s">
        <v>5</v>
      </c>
      <c r="F40" t="s">
        <v>442</v>
      </c>
      <c r="G40" t="b">
        <v>1</v>
      </c>
    </row>
    <row r="41" spans="2:7" x14ac:dyDescent="0.3">
      <c r="B41" t="s">
        <v>142</v>
      </c>
      <c r="C41" t="s">
        <v>283</v>
      </c>
      <c r="D41" t="s">
        <v>284</v>
      </c>
      <c r="E41" t="s">
        <v>5</v>
      </c>
      <c r="F41" t="s">
        <v>442</v>
      </c>
      <c r="G41" t="b">
        <v>1</v>
      </c>
    </row>
    <row r="42" spans="2:7" x14ac:dyDescent="0.3">
      <c r="B42" t="s">
        <v>149</v>
      </c>
      <c r="C42" t="s">
        <v>374</v>
      </c>
      <c r="D42" t="s">
        <v>428</v>
      </c>
      <c r="E42" t="s">
        <v>3</v>
      </c>
      <c r="F42" t="s">
        <v>443</v>
      </c>
      <c r="G42" t="b">
        <v>0</v>
      </c>
    </row>
    <row r="43" spans="2:7" x14ac:dyDescent="0.3">
      <c r="B43" t="s">
        <v>13</v>
      </c>
      <c r="C43" t="s">
        <v>294</v>
      </c>
      <c r="D43" t="s">
        <v>295</v>
      </c>
      <c r="E43" t="s">
        <v>3</v>
      </c>
      <c r="F43" t="s">
        <v>441</v>
      </c>
      <c r="G43" t="b">
        <v>1</v>
      </c>
    </row>
    <row r="44" spans="2:7" x14ac:dyDescent="0.3">
      <c r="B44" t="s">
        <v>136</v>
      </c>
      <c r="C44" t="s">
        <v>296</v>
      </c>
      <c r="D44" t="s">
        <v>297</v>
      </c>
      <c r="E44" t="s">
        <v>7</v>
      </c>
      <c r="F44" t="s">
        <v>442</v>
      </c>
      <c r="G44" t="b">
        <v>0</v>
      </c>
    </row>
    <row r="45" spans="2:7" x14ac:dyDescent="0.3">
      <c r="B45" t="s">
        <v>140</v>
      </c>
      <c r="C45" t="s">
        <v>286</v>
      </c>
      <c r="D45" t="s">
        <v>287</v>
      </c>
      <c r="E45" t="s">
        <v>5</v>
      </c>
      <c r="F45" t="s">
        <v>442</v>
      </c>
      <c r="G45" t="b">
        <v>1</v>
      </c>
    </row>
    <row r="46" spans="2:7" x14ac:dyDescent="0.3">
      <c r="B46" t="s">
        <v>69</v>
      </c>
      <c r="C46" t="s">
        <v>300</v>
      </c>
      <c r="D46" t="s">
        <v>380</v>
      </c>
      <c r="E46" t="s">
        <v>3</v>
      </c>
      <c r="F46" t="s">
        <v>442</v>
      </c>
      <c r="G46" t="b">
        <v>1</v>
      </c>
    </row>
    <row r="47" spans="2:7" x14ac:dyDescent="0.3">
      <c r="B47" t="s">
        <v>120</v>
      </c>
      <c r="C47" t="s">
        <v>332</v>
      </c>
      <c r="D47" t="s">
        <v>333</v>
      </c>
      <c r="E47" t="s">
        <v>5</v>
      </c>
      <c r="F47" t="s">
        <v>442</v>
      </c>
      <c r="G47" t="b">
        <v>1</v>
      </c>
    </row>
    <row r="48" spans="2:7" x14ac:dyDescent="0.3">
      <c r="B48" t="s">
        <v>159</v>
      </c>
      <c r="C48" t="s">
        <v>288</v>
      </c>
      <c r="D48" t="s">
        <v>446</v>
      </c>
      <c r="E48" t="s">
        <v>5</v>
      </c>
      <c r="F48" t="s">
        <v>443</v>
      </c>
      <c r="G48" t="b">
        <v>0</v>
      </c>
    </row>
    <row r="49" spans="2:7" x14ac:dyDescent="0.3">
      <c r="B49" t="s">
        <v>161</v>
      </c>
      <c r="C49" t="s">
        <v>292</v>
      </c>
      <c r="D49" t="s">
        <v>299</v>
      </c>
      <c r="E49" t="s">
        <v>7</v>
      </c>
      <c r="F49" t="s">
        <v>443</v>
      </c>
      <c r="G49" t="b">
        <v>0</v>
      </c>
    </row>
    <row r="50" spans="2:7" x14ac:dyDescent="0.3">
      <c r="B50" t="s">
        <v>102</v>
      </c>
      <c r="C50" t="s">
        <v>300</v>
      </c>
      <c r="D50" t="s">
        <v>346</v>
      </c>
      <c r="E50" t="s">
        <v>5</v>
      </c>
      <c r="F50" t="s">
        <v>442</v>
      </c>
      <c r="G50" t="b">
        <v>1</v>
      </c>
    </row>
    <row r="51" spans="2:7" x14ac:dyDescent="0.3">
      <c r="B51" t="s">
        <v>94</v>
      </c>
      <c r="C51" t="s">
        <v>300</v>
      </c>
      <c r="D51" t="s">
        <v>367</v>
      </c>
      <c r="E51" t="s">
        <v>5</v>
      </c>
      <c r="F51" t="s">
        <v>442</v>
      </c>
      <c r="G51" t="b">
        <v>1</v>
      </c>
    </row>
    <row r="52" spans="2:7" x14ac:dyDescent="0.3">
      <c r="B52" t="s">
        <v>104</v>
      </c>
      <c r="C52" t="s">
        <v>352</v>
      </c>
      <c r="D52" t="s">
        <v>353</v>
      </c>
      <c r="E52" t="s">
        <v>5</v>
      </c>
      <c r="F52" t="s">
        <v>442</v>
      </c>
      <c r="G52" t="b">
        <v>1</v>
      </c>
    </row>
    <row r="53" spans="2:7" x14ac:dyDescent="0.3">
      <c r="B53" t="s">
        <v>10</v>
      </c>
      <c r="C53" t="s">
        <v>296</v>
      </c>
      <c r="D53" t="s">
        <v>342</v>
      </c>
      <c r="E53" t="s">
        <v>7</v>
      </c>
      <c r="F53" t="s">
        <v>441</v>
      </c>
      <c r="G53" t="b">
        <v>1</v>
      </c>
    </row>
    <row r="54" spans="2:7" x14ac:dyDescent="0.3">
      <c r="B54" t="s">
        <v>38</v>
      </c>
      <c r="C54" t="s">
        <v>300</v>
      </c>
      <c r="D54" t="s">
        <v>301</v>
      </c>
      <c r="E54" t="s">
        <v>5</v>
      </c>
      <c r="F54" t="s">
        <v>442</v>
      </c>
      <c r="G54" t="b">
        <v>1</v>
      </c>
    </row>
    <row r="55" spans="2:7" x14ac:dyDescent="0.3">
      <c r="B55" t="s">
        <v>66</v>
      </c>
      <c r="C55" t="s">
        <v>300</v>
      </c>
      <c r="D55" t="s">
        <v>380</v>
      </c>
      <c r="E55" t="s">
        <v>63</v>
      </c>
      <c r="F55" t="s">
        <v>442</v>
      </c>
      <c r="G55" t="b">
        <v>1</v>
      </c>
    </row>
    <row r="56" spans="2:7" x14ac:dyDescent="0.3">
      <c r="B56" t="s">
        <v>89</v>
      </c>
      <c r="C56" t="s">
        <v>374</v>
      </c>
      <c r="D56" t="s">
        <v>375</v>
      </c>
      <c r="E56" t="s">
        <v>7</v>
      </c>
      <c r="F56" t="s">
        <v>442</v>
      </c>
      <c r="G56" t="b">
        <v>0</v>
      </c>
    </row>
    <row r="57" spans="2:7" x14ac:dyDescent="0.3">
      <c r="B57" t="s">
        <v>88</v>
      </c>
      <c r="C57" t="s">
        <v>290</v>
      </c>
      <c r="D57" t="s">
        <v>319</v>
      </c>
      <c r="E57" t="s">
        <v>7</v>
      </c>
      <c r="F57" t="s">
        <v>442</v>
      </c>
      <c r="G57" t="b">
        <v>1</v>
      </c>
    </row>
    <row r="58" spans="2:7" x14ac:dyDescent="0.3">
      <c r="B58" t="s">
        <v>70</v>
      </c>
      <c r="C58" t="s">
        <v>391</v>
      </c>
      <c r="D58" t="s">
        <v>392</v>
      </c>
      <c r="E58" t="s">
        <v>5</v>
      </c>
      <c r="F58" t="s">
        <v>442</v>
      </c>
      <c r="G58" t="b">
        <v>0</v>
      </c>
    </row>
    <row r="59" spans="2:7" x14ac:dyDescent="0.3">
      <c r="B59" t="s">
        <v>101</v>
      </c>
      <c r="C59" t="s">
        <v>355</v>
      </c>
      <c r="D59" t="s">
        <v>356</v>
      </c>
      <c r="E59" t="s">
        <v>5</v>
      </c>
      <c r="F59" t="s">
        <v>442</v>
      </c>
      <c r="G59" t="b">
        <v>1</v>
      </c>
    </row>
    <row r="60" spans="2:7" x14ac:dyDescent="0.3">
      <c r="B60" t="s">
        <v>106</v>
      </c>
      <c r="C60" t="s">
        <v>279</v>
      </c>
      <c r="D60" t="s">
        <v>338</v>
      </c>
      <c r="E60" t="s">
        <v>3</v>
      </c>
      <c r="F60" t="s">
        <v>442</v>
      </c>
      <c r="G60" t="b">
        <v>1</v>
      </c>
    </row>
    <row r="61" spans="2:7" x14ac:dyDescent="0.3">
      <c r="B61" t="s">
        <v>158</v>
      </c>
      <c r="C61" t="s">
        <v>313</v>
      </c>
      <c r="D61" t="s">
        <v>339</v>
      </c>
      <c r="E61" t="s">
        <v>7</v>
      </c>
      <c r="F61" t="s">
        <v>443</v>
      </c>
      <c r="G61" t="b">
        <v>0</v>
      </c>
    </row>
    <row r="62" spans="2:7" x14ac:dyDescent="0.3">
      <c r="B62" t="s">
        <v>148</v>
      </c>
      <c r="C62" t="s">
        <v>374</v>
      </c>
      <c r="D62" t="s">
        <v>428</v>
      </c>
      <c r="E62" t="s">
        <v>7</v>
      </c>
      <c r="F62" t="s">
        <v>443</v>
      </c>
      <c r="G62" t="b">
        <v>0</v>
      </c>
    </row>
    <row r="63" spans="2:7" x14ac:dyDescent="0.3">
      <c r="B63" t="s">
        <v>35</v>
      </c>
      <c r="C63" t="s">
        <v>408</v>
      </c>
      <c r="D63" t="s">
        <v>430</v>
      </c>
      <c r="E63" t="s">
        <v>5</v>
      </c>
      <c r="F63" t="s">
        <v>442</v>
      </c>
      <c r="G63" t="b">
        <v>0</v>
      </c>
    </row>
    <row r="64" spans="2:7" x14ac:dyDescent="0.3">
      <c r="B64" t="s">
        <v>23</v>
      </c>
      <c r="C64" t="s">
        <v>387</v>
      </c>
      <c r="D64" t="s">
        <v>388</v>
      </c>
      <c r="E64" t="s">
        <v>3</v>
      </c>
      <c r="F64" t="s">
        <v>443</v>
      </c>
      <c r="G64" t="b">
        <v>1</v>
      </c>
    </row>
    <row r="65" spans="2:7" x14ac:dyDescent="0.3">
      <c r="B65" t="s">
        <v>78</v>
      </c>
      <c r="C65" t="s">
        <v>283</v>
      </c>
      <c r="D65" t="s">
        <v>341</v>
      </c>
      <c r="E65" t="s">
        <v>5</v>
      </c>
      <c r="F65" t="s">
        <v>442</v>
      </c>
      <c r="G65" t="b">
        <v>1</v>
      </c>
    </row>
    <row r="66" spans="2:7" x14ac:dyDescent="0.3">
      <c r="B66" t="s">
        <v>99</v>
      </c>
      <c r="C66" t="s">
        <v>296</v>
      </c>
      <c r="D66" t="s">
        <v>297</v>
      </c>
      <c r="E66" t="s">
        <v>7</v>
      </c>
      <c r="F66" t="s">
        <v>442</v>
      </c>
      <c r="G66" t="b">
        <v>0</v>
      </c>
    </row>
    <row r="67" spans="2:7" x14ac:dyDescent="0.3">
      <c r="B67" t="s">
        <v>34</v>
      </c>
      <c r="C67" t="s">
        <v>310</v>
      </c>
      <c r="D67" t="s">
        <v>311</v>
      </c>
      <c r="E67" t="s">
        <v>3</v>
      </c>
      <c r="F67" t="s">
        <v>443</v>
      </c>
      <c r="G67" t="b">
        <v>1</v>
      </c>
    </row>
    <row r="68" spans="2:7" x14ac:dyDescent="0.3">
      <c r="B68" t="s">
        <v>15</v>
      </c>
      <c r="C68" t="s">
        <v>334</v>
      </c>
      <c r="D68" t="s">
        <v>427</v>
      </c>
      <c r="E68" t="s">
        <v>3</v>
      </c>
      <c r="F68" t="s">
        <v>443</v>
      </c>
      <c r="G68" t="b">
        <v>1</v>
      </c>
    </row>
    <row r="69" spans="2:7" x14ac:dyDescent="0.3">
      <c r="B69" t="s">
        <v>123</v>
      </c>
      <c r="C69" t="s">
        <v>296</v>
      </c>
      <c r="D69" t="s">
        <v>325</v>
      </c>
      <c r="E69" t="s">
        <v>7</v>
      </c>
      <c r="F69" t="s">
        <v>442</v>
      </c>
      <c r="G69" t="b">
        <v>1</v>
      </c>
    </row>
    <row r="70" spans="2:7" x14ac:dyDescent="0.3">
      <c r="B70" t="s">
        <v>177</v>
      </c>
      <c r="C70" t="s">
        <v>283</v>
      </c>
      <c r="D70" t="s">
        <v>307</v>
      </c>
      <c r="E70" t="s">
        <v>5</v>
      </c>
      <c r="F70" t="s">
        <v>443</v>
      </c>
      <c r="G70" t="b">
        <v>1</v>
      </c>
    </row>
    <row r="71" spans="2:7" x14ac:dyDescent="0.3">
      <c r="B71" t="s">
        <v>11</v>
      </c>
      <c r="C71" t="s">
        <v>313</v>
      </c>
      <c r="D71" t="s">
        <v>339</v>
      </c>
      <c r="E71" t="s">
        <v>7</v>
      </c>
      <c r="F71" t="s">
        <v>441</v>
      </c>
      <c r="G71" t="b">
        <v>1</v>
      </c>
    </row>
    <row r="72" spans="2:7" x14ac:dyDescent="0.3">
      <c r="B72" t="s">
        <v>74</v>
      </c>
      <c r="C72" t="s">
        <v>296</v>
      </c>
      <c r="D72" t="s">
        <v>297</v>
      </c>
      <c r="E72" t="s">
        <v>5</v>
      </c>
      <c r="F72" t="s">
        <v>442</v>
      </c>
      <c r="G72" t="b">
        <v>0</v>
      </c>
    </row>
    <row r="73" spans="2:7" x14ac:dyDescent="0.3">
      <c r="B73" t="s">
        <v>129</v>
      </c>
      <c r="C73" t="s">
        <v>294</v>
      </c>
      <c r="D73" t="s">
        <v>312</v>
      </c>
      <c r="E73" t="s">
        <v>5</v>
      </c>
      <c r="F73" t="s">
        <v>442</v>
      </c>
      <c r="G73" t="b">
        <v>1</v>
      </c>
    </row>
    <row r="74" spans="2:7" x14ac:dyDescent="0.3">
      <c r="B74" t="s">
        <v>111</v>
      </c>
      <c r="C74" t="s">
        <v>296</v>
      </c>
      <c r="D74" t="s">
        <v>348</v>
      </c>
      <c r="E74" t="s">
        <v>3</v>
      </c>
      <c r="F74" t="s">
        <v>442</v>
      </c>
      <c r="G74" t="b">
        <v>1</v>
      </c>
    </row>
    <row r="75" spans="2:7" x14ac:dyDescent="0.3">
      <c r="B75" t="s">
        <v>28</v>
      </c>
      <c r="C75" t="s">
        <v>294</v>
      </c>
      <c r="D75" t="s">
        <v>362</v>
      </c>
      <c r="E75" t="s">
        <v>5</v>
      </c>
      <c r="F75" t="s">
        <v>443</v>
      </c>
      <c r="G75" t="b">
        <v>1</v>
      </c>
    </row>
    <row r="76" spans="2:7" x14ac:dyDescent="0.3">
      <c r="B76" t="s">
        <v>98</v>
      </c>
      <c r="C76" t="s">
        <v>300</v>
      </c>
      <c r="D76" t="s">
        <v>364</v>
      </c>
      <c r="E76" t="s">
        <v>7</v>
      </c>
      <c r="F76" t="s">
        <v>442</v>
      </c>
      <c r="G76" t="b">
        <v>1</v>
      </c>
    </row>
    <row r="77" spans="2:7" x14ac:dyDescent="0.3">
      <c r="B77" t="s">
        <v>59</v>
      </c>
      <c r="C77" t="s">
        <v>300</v>
      </c>
      <c r="D77" t="s">
        <v>380</v>
      </c>
      <c r="E77" t="s">
        <v>5</v>
      </c>
      <c r="F77" t="s">
        <v>442</v>
      </c>
      <c r="G77" t="b">
        <v>1</v>
      </c>
    </row>
    <row r="78" spans="2:7" x14ac:dyDescent="0.3">
      <c r="B78" t="s">
        <v>366</v>
      </c>
      <c r="C78" t="s">
        <v>300</v>
      </c>
      <c r="D78" t="s">
        <v>302</v>
      </c>
      <c r="E78" t="s">
        <v>3</v>
      </c>
      <c r="F78" t="s">
        <v>442</v>
      </c>
      <c r="G78" t="b">
        <v>0</v>
      </c>
    </row>
    <row r="79" spans="2:7" x14ac:dyDescent="0.3">
      <c r="B79" t="s">
        <v>19</v>
      </c>
      <c r="C79" t="s">
        <v>279</v>
      </c>
      <c r="D79" t="s">
        <v>414</v>
      </c>
      <c r="E79" t="s">
        <v>3</v>
      </c>
      <c r="F79" t="s">
        <v>443</v>
      </c>
      <c r="G79" t="b">
        <v>1</v>
      </c>
    </row>
    <row r="80" spans="2:7" x14ac:dyDescent="0.3">
      <c r="B80" t="s">
        <v>26</v>
      </c>
      <c r="C80" t="s">
        <v>294</v>
      </c>
      <c r="D80" t="s">
        <v>378</v>
      </c>
      <c r="E80" t="s">
        <v>5</v>
      </c>
      <c r="F80" t="s">
        <v>443</v>
      </c>
      <c r="G80" t="b">
        <v>1</v>
      </c>
    </row>
    <row r="81" spans="2:7" x14ac:dyDescent="0.3">
      <c r="B81" t="s">
        <v>24</v>
      </c>
      <c r="C81" t="s">
        <v>384</v>
      </c>
      <c r="D81" t="s">
        <v>385</v>
      </c>
      <c r="E81" t="s">
        <v>3</v>
      </c>
      <c r="F81" t="s">
        <v>443</v>
      </c>
      <c r="G81" t="b">
        <v>1</v>
      </c>
    </row>
    <row r="82" spans="2:7" x14ac:dyDescent="0.3">
      <c r="B82" t="s">
        <v>85</v>
      </c>
      <c r="C82" t="s">
        <v>300</v>
      </c>
      <c r="D82" t="s">
        <v>380</v>
      </c>
      <c r="E82" t="s">
        <v>5</v>
      </c>
      <c r="F82" t="s">
        <v>442</v>
      </c>
      <c r="G82" t="b">
        <v>1</v>
      </c>
    </row>
    <row r="83" spans="2:7" x14ac:dyDescent="0.3">
      <c r="B83" t="s">
        <v>108</v>
      </c>
      <c r="C83" t="s">
        <v>344</v>
      </c>
      <c r="D83" t="s">
        <v>345</v>
      </c>
      <c r="E83" t="s">
        <v>5</v>
      </c>
      <c r="F83" t="s">
        <v>442</v>
      </c>
      <c r="G83" t="b">
        <v>0</v>
      </c>
    </row>
    <row r="84" spans="2:7" x14ac:dyDescent="0.3">
      <c r="B84" t="s">
        <v>118</v>
      </c>
      <c r="C84" t="s">
        <v>279</v>
      </c>
      <c r="D84" t="s">
        <v>338</v>
      </c>
      <c r="E84" t="s">
        <v>3</v>
      </c>
      <c r="F84" t="s">
        <v>442</v>
      </c>
      <c r="G84" t="b">
        <v>1</v>
      </c>
    </row>
    <row r="85" spans="2:7" x14ac:dyDescent="0.3">
      <c r="B85" t="s">
        <v>80</v>
      </c>
      <c r="C85" t="s">
        <v>279</v>
      </c>
      <c r="D85" t="s">
        <v>280</v>
      </c>
      <c r="E85" t="s">
        <v>63</v>
      </c>
      <c r="F85" t="s">
        <v>442</v>
      </c>
      <c r="G85" t="b">
        <v>1</v>
      </c>
    </row>
    <row r="86" spans="2:7" x14ac:dyDescent="0.3">
      <c r="B86" t="s">
        <v>167</v>
      </c>
      <c r="C86" t="s">
        <v>292</v>
      </c>
      <c r="D86" t="s">
        <v>398</v>
      </c>
      <c r="E86" t="s">
        <v>7</v>
      </c>
      <c r="F86" t="s">
        <v>443</v>
      </c>
      <c r="G86" t="b">
        <v>0</v>
      </c>
    </row>
    <row r="87" spans="2:7" x14ac:dyDescent="0.3">
      <c r="B87" t="s">
        <v>180</v>
      </c>
      <c r="C87" t="s">
        <v>292</v>
      </c>
      <c r="D87" t="s">
        <v>299</v>
      </c>
      <c r="E87" t="s">
        <v>7</v>
      </c>
      <c r="F87" t="s">
        <v>443</v>
      </c>
      <c r="G87" t="b">
        <v>0</v>
      </c>
    </row>
    <row r="88" spans="2:7" x14ac:dyDescent="0.3">
      <c r="B88" t="s">
        <v>125</v>
      </c>
      <c r="C88" t="s">
        <v>290</v>
      </c>
      <c r="D88" t="s">
        <v>319</v>
      </c>
      <c r="E88" t="s">
        <v>7</v>
      </c>
      <c r="F88" t="s">
        <v>442</v>
      </c>
      <c r="G88" t="b">
        <v>1</v>
      </c>
    </row>
    <row r="89" spans="2:7" x14ac:dyDescent="0.3">
      <c r="B89" t="s">
        <v>91</v>
      </c>
      <c r="C89" t="s">
        <v>372</v>
      </c>
      <c r="D89" t="s">
        <v>373</v>
      </c>
      <c r="E89" t="s">
        <v>3</v>
      </c>
      <c r="F89" t="s">
        <v>442</v>
      </c>
      <c r="G89" t="b">
        <v>0</v>
      </c>
    </row>
    <row r="90" spans="2:7" x14ac:dyDescent="0.3">
      <c r="B90" t="s">
        <v>174</v>
      </c>
      <c r="C90" t="s">
        <v>290</v>
      </c>
      <c r="D90" t="s">
        <v>324</v>
      </c>
      <c r="E90" t="s">
        <v>7</v>
      </c>
      <c r="F90" t="s">
        <v>443</v>
      </c>
      <c r="G90" t="b">
        <v>1</v>
      </c>
    </row>
    <row r="91" spans="2:7" x14ac:dyDescent="0.3">
      <c r="B91" t="s">
        <v>67</v>
      </c>
      <c r="C91" t="s">
        <v>300</v>
      </c>
      <c r="D91" t="s">
        <v>394</v>
      </c>
      <c r="E91" t="s">
        <v>7</v>
      </c>
      <c r="F91" t="s">
        <v>442</v>
      </c>
      <c r="G91" t="b">
        <v>1</v>
      </c>
    </row>
    <row r="92" spans="2:7" x14ac:dyDescent="0.3">
      <c r="B92" t="s">
        <v>100</v>
      </c>
      <c r="C92" t="s">
        <v>300</v>
      </c>
      <c r="D92" t="s">
        <v>363</v>
      </c>
      <c r="E92" t="s">
        <v>5</v>
      </c>
      <c r="F92" t="s">
        <v>442</v>
      </c>
      <c r="G92" t="b">
        <v>1</v>
      </c>
    </row>
    <row r="93" spans="2:7" x14ac:dyDescent="0.3">
      <c r="B93" t="s">
        <v>40</v>
      </c>
      <c r="C93" t="s">
        <v>300</v>
      </c>
      <c r="D93" t="s">
        <v>380</v>
      </c>
      <c r="E93" t="s">
        <v>3</v>
      </c>
      <c r="F93" t="s">
        <v>442</v>
      </c>
      <c r="G93" t="b">
        <v>1</v>
      </c>
    </row>
    <row r="94" spans="2:7" x14ac:dyDescent="0.3">
      <c r="B94" t="s">
        <v>20</v>
      </c>
      <c r="C94" t="s">
        <v>300</v>
      </c>
      <c r="D94" t="s">
        <v>413</v>
      </c>
      <c r="E94" t="s">
        <v>3</v>
      </c>
      <c r="F94" t="s">
        <v>443</v>
      </c>
      <c r="G94" t="b">
        <v>1</v>
      </c>
    </row>
    <row r="95" spans="2:7" x14ac:dyDescent="0.3">
      <c r="B95" t="s">
        <v>169</v>
      </c>
      <c r="C95" t="s">
        <v>279</v>
      </c>
      <c r="D95" t="s">
        <v>395</v>
      </c>
      <c r="E95" t="s">
        <v>3</v>
      </c>
      <c r="F95" t="s">
        <v>443</v>
      </c>
      <c r="G95" t="b">
        <v>0</v>
      </c>
    </row>
    <row r="96" spans="2:7" x14ac:dyDescent="0.3">
      <c r="B96" t="s">
        <v>41</v>
      </c>
      <c r="C96" t="s">
        <v>368</v>
      </c>
      <c r="D96" t="s">
        <v>412</v>
      </c>
      <c r="E96" t="s">
        <v>5</v>
      </c>
      <c r="F96" t="s">
        <v>442</v>
      </c>
      <c r="G96" t="b">
        <v>1</v>
      </c>
    </row>
    <row r="97" spans="2:7" x14ac:dyDescent="0.3">
      <c r="B97" t="s">
        <v>157</v>
      </c>
      <c r="C97" t="s">
        <v>423</v>
      </c>
      <c r="D97" t="s">
        <v>424</v>
      </c>
      <c r="E97" t="s">
        <v>5</v>
      </c>
      <c r="F97" t="s">
        <v>443</v>
      </c>
      <c r="G97" t="b">
        <v>0</v>
      </c>
    </row>
    <row r="98" spans="2:7" x14ac:dyDescent="0.3">
      <c r="B98" t="s">
        <v>434</v>
      </c>
      <c r="C98" t="s">
        <v>320</v>
      </c>
      <c r="D98" t="s">
        <v>435</v>
      </c>
      <c r="E98" t="s">
        <v>5</v>
      </c>
      <c r="F98" t="s">
        <v>443</v>
      </c>
      <c r="G98" t="b">
        <v>1</v>
      </c>
    </row>
    <row r="99" spans="2:7" x14ac:dyDescent="0.3">
      <c r="B99" t="s">
        <v>79</v>
      </c>
      <c r="C99" t="s">
        <v>300</v>
      </c>
      <c r="D99" t="s">
        <v>364</v>
      </c>
      <c r="E99" t="s">
        <v>7</v>
      </c>
      <c r="F99" t="s">
        <v>442</v>
      </c>
      <c r="G99" t="b">
        <v>1</v>
      </c>
    </row>
    <row r="100" spans="2:7" x14ac:dyDescent="0.3">
      <c r="B100" t="s">
        <v>62</v>
      </c>
      <c r="C100" t="s">
        <v>300</v>
      </c>
      <c r="D100" t="s">
        <v>386</v>
      </c>
      <c r="E100" t="s">
        <v>63</v>
      </c>
      <c r="F100" t="s">
        <v>442</v>
      </c>
      <c r="G100" t="b">
        <v>1</v>
      </c>
    </row>
    <row r="101" spans="2:7" x14ac:dyDescent="0.3">
      <c r="B101" t="s">
        <v>87</v>
      </c>
      <c r="C101" t="s">
        <v>281</v>
      </c>
      <c r="D101" t="s">
        <v>282</v>
      </c>
      <c r="E101" t="s">
        <v>3</v>
      </c>
      <c r="F101" t="s">
        <v>442</v>
      </c>
      <c r="G101" t="b">
        <v>1</v>
      </c>
    </row>
    <row r="102" spans="2:7" x14ac:dyDescent="0.3">
      <c r="B102" t="s">
        <v>152</v>
      </c>
      <c r="C102" t="s">
        <v>374</v>
      </c>
      <c r="D102" t="s">
        <v>428</v>
      </c>
      <c r="E102" t="s">
        <v>3</v>
      </c>
      <c r="F102" t="s">
        <v>443</v>
      </c>
      <c r="G102" t="b">
        <v>0</v>
      </c>
    </row>
    <row r="103" spans="2:7" x14ac:dyDescent="0.3">
      <c r="B103" t="s">
        <v>179</v>
      </c>
      <c r="C103" t="s">
        <v>288</v>
      </c>
      <c r="D103" t="s">
        <v>303</v>
      </c>
      <c r="E103" t="s">
        <v>3</v>
      </c>
      <c r="F103" t="s">
        <v>443</v>
      </c>
      <c r="G103" t="b">
        <v>0</v>
      </c>
    </row>
    <row r="104" spans="2:7" x14ac:dyDescent="0.3">
      <c r="B104" t="s">
        <v>2</v>
      </c>
      <c r="C104" t="s">
        <v>296</v>
      </c>
      <c r="D104" t="s">
        <v>419</v>
      </c>
      <c r="E104" t="s">
        <v>3</v>
      </c>
      <c r="F104" t="s">
        <v>441</v>
      </c>
      <c r="G104" t="b">
        <v>1</v>
      </c>
    </row>
    <row r="105" spans="2:7" x14ac:dyDescent="0.3">
      <c r="B105" t="s">
        <v>119</v>
      </c>
      <c r="C105" t="s">
        <v>334</v>
      </c>
      <c r="D105" t="s">
        <v>335</v>
      </c>
      <c r="E105" t="s">
        <v>5</v>
      </c>
      <c r="F105" t="s">
        <v>442</v>
      </c>
      <c r="G105" t="b">
        <v>1</v>
      </c>
    </row>
    <row r="106" spans="2:7" x14ac:dyDescent="0.3">
      <c r="B106" t="s">
        <v>150</v>
      </c>
      <c r="C106" t="s">
        <v>374</v>
      </c>
      <c r="D106" t="s">
        <v>428</v>
      </c>
      <c r="E106" t="s">
        <v>7</v>
      </c>
      <c r="F106" t="s">
        <v>443</v>
      </c>
      <c r="G106" t="b">
        <v>0</v>
      </c>
    </row>
    <row r="107" spans="2:7" x14ac:dyDescent="0.3">
      <c r="B107" t="s">
        <v>92</v>
      </c>
      <c r="C107" t="s">
        <v>370</v>
      </c>
      <c r="D107" t="s">
        <v>371</v>
      </c>
      <c r="E107" t="s">
        <v>3</v>
      </c>
      <c r="F107" t="s">
        <v>442</v>
      </c>
      <c r="G107" t="b">
        <v>0</v>
      </c>
    </row>
    <row r="108" spans="2:7" x14ac:dyDescent="0.3">
      <c r="B108" t="s">
        <v>131</v>
      </c>
      <c r="C108" t="s">
        <v>290</v>
      </c>
      <c r="D108" t="s">
        <v>306</v>
      </c>
      <c r="E108" t="s">
        <v>3</v>
      </c>
      <c r="F108" t="s">
        <v>442</v>
      </c>
      <c r="G108" t="b">
        <v>1</v>
      </c>
    </row>
    <row r="109" spans="2:7" x14ac:dyDescent="0.3">
      <c r="B109" t="s">
        <v>132</v>
      </c>
      <c r="C109" t="s">
        <v>304</v>
      </c>
      <c r="D109" t="s">
        <v>305</v>
      </c>
      <c r="E109" t="s">
        <v>7</v>
      </c>
      <c r="F109" t="s">
        <v>442</v>
      </c>
      <c r="G109" t="b">
        <v>1</v>
      </c>
    </row>
    <row r="110" spans="2:7" x14ac:dyDescent="0.3">
      <c r="B110" t="s">
        <v>8</v>
      </c>
      <c r="C110" t="s">
        <v>296</v>
      </c>
      <c r="D110" t="s">
        <v>348</v>
      </c>
      <c r="E110" t="s">
        <v>7</v>
      </c>
      <c r="F110" t="s">
        <v>441</v>
      </c>
      <c r="G110" t="b">
        <v>1</v>
      </c>
    </row>
    <row r="111" spans="2:7" x14ac:dyDescent="0.3">
      <c r="B111" t="s">
        <v>115</v>
      </c>
      <c r="C111" t="s">
        <v>343</v>
      </c>
      <c r="D111" t="s">
        <v>301</v>
      </c>
      <c r="E111" t="s">
        <v>5</v>
      </c>
      <c r="F111" t="s">
        <v>442</v>
      </c>
      <c r="G111" t="b">
        <v>1</v>
      </c>
    </row>
    <row r="112" spans="2:7" x14ac:dyDescent="0.3">
      <c r="B112" t="s">
        <v>21</v>
      </c>
      <c r="C112" t="s">
        <v>357</v>
      </c>
      <c r="D112" t="s">
        <v>402</v>
      </c>
      <c r="E112" t="s">
        <v>3</v>
      </c>
      <c r="F112" t="s">
        <v>443</v>
      </c>
      <c r="G112" t="b">
        <v>1</v>
      </c>
    </row>
    <row r="113" spans="2:7" x14ac:dyDescent="0.3">
      <c r="B113" t="s">
        <v>145</v>
      </c>
      <c r="C113" t="s">
        <v>277</v>
      </c>
      <c r="D113" t="s">
        <v>278</v>
      </c>
      <c r="E113" t="s">
        <v>5</v>
      </c>
      <c r="F113" t="s">
        <v>442</v>
      </c>
      <c r="G113" t="b">
        <v>1</v>
      </c>
    </row>
    <row r="114" spans="2:7" x14ac:dyDescent="0.3">
      <c r="B114" t="s">
        <v>39</v>
      </c>
      <c r="C114" t="s">
        <v>290</v>
      </c>
      <c r="D114" t="s">
        <v>420</v>
      </c>
      <c r="E114" t="s">
        <v>7</v>
      </c>
      <c r="F114" t="s">
        <v>442</v>
      </c>
      <c r="G114" t="b">
        <v>1</v>
      </c>
    </row>
    <row r="115" spans="2:7" x14ac:dyDescent="0.3">
      <c r="B115" t="s">
        <v>30</v>
      </c>
      <c r="C115" t="s">
        <v>357</v>
      </c>
      <c r="D115" t="s">
        <v>358</v>
      </c>
      <c r="E115" t="s">
        <v>3</v>
      </c>
      <c r="F115" t="s">
        <v>443</v>
      </c>
      <c r="G115" t="b">
        <v>1</v>
      </c>
    </row>
    <row r="116" spans="2:7" x14ac:dyDescent="0.3">
      <c r="B116" t="s">
        <v>32</v>
      </c>
      <c r="C116" t="s">
        <v>336</v>
      </c>
      <c r="D116" t="s">
        <v>337</v>
      </c>
      <c r="E116" t="s">
        <v>5</v>
      </c>
      <c r="F116" t="s">
        <v>443</v>
      </c>
      <c r="G116" t="b">
        <v>1</v>
      </c>
    </row>
    <row r="117" spans="2:7" x14ac:dyDescent="0.3">
      <c r="B117" t="s">
        <v>54</v>
      </c>
      <c r="C117" t="s">
        <v>374</v>
      </c>
      <c r="D117" t="s">
        <v>375</v>
      </c>
      <c r="E117" t="s">
        <v>3</v>
      </c>
      <c r="F117" t="s">
        <v>442</v>
      </c>
      <c r="G117" t="b">
        <v>0</v>
      </c>
    </row>
    <row r="118" spans="2:7" x14ac:dyDescent="0.3">
      <c r="B118" t="s">
        <v>73</v>
      </c>
      <c r="C118" t="s">
        <v>300</v>
      </c>
      <c r="D118" t="s">
        <v>386</v>
      </c>
      <c r="E118" t="s">
        <v>3</v>
      </c>
      <c r="F118" t="s">
        <v>442</v>
      </c>
      <c r="G118" t="b">
        <v>1</v>
      </c>
    </row>
    <row r="119" spans="2:7" x14ac:dyDescent="0.3">
      <c r="B119" t="s">
        <v>114</v>
      </c>
      <c r="C119" t="s">
        <v>344</v>
      </c>
      <c r="D119" t="s">
        <v>345</v>
      </c>
      <c r="E119" t="s">
        <v>5</v>
      </c>
      <c r="F119" t="s">
        <v>442</v>
      </c>
      <c r="G119" t="b">
        <v>1</v>
      </c>
    </row>
    <row r="120" spans="2:7" x14ac:dyDescent="0.3">
      <c r="B120" t="s">
        <v>90</v>
      </c>
      <c r="C120" t="s">
        <v>300</v>
      </c>
      <c r="D120" t="s">
        <v>302</v>
      </c>
      <c r="E120" t="s">
        <v>5</v>
      </c>
      <c r="F120" t="s">
        <v>442</v>
      </c>
      <c r="G120" t="b">
        <v>1</v>
      </c>
    </row>
    <row r="121" spans="2:7" x14ac:dyDescent="0.3">
      <c r="B121" t="s">
        <v>146</v>
      </c>
      <c r="C121" t="s">
        <v>275</v>
      </c>
      <c r="D121" t="s">
        <v>276</v>
      </c>
      <c r="E121" t="s">
        <v>3</v>
      </c>
      <c r="F121" t="s">
        <v>442</v>
      </c>
      <c r="G121" t="b">
        <v>1</v>
      </c>
    </row>
    <row r="122" spans="2:7" x14ac:dyDescent="0.3">
      <c r="B122" t="s">
        <v>29</v>
      </c>
      <c r="C122" t="s">
        <v>290</v>
      </c>
      <c r="D122" t="s">
        <v>361</v>
      </c>
      <c r="E122" t="s">
        <v>3</v>
      </c>
      <c r="F122" t="s">
        <v>443</v>
      </c>
      <c r="G122" t="b">
        <v>1</v>
      </c>
    </row>
    <row r="123" spans="2:7" x14ac:dyDescent="0.3">
      <c r="B123" t="s">
        <v>96</v>
      </c>
      <c r="C123" t="s">
        <v>300</v>
      </c>
      <c r="D123" t="s">
        <v>365</v>
      </c>
      <c r="E123" t="s">
        <v>3</v>
      </c>
      <c r="F123" t="s">
        <v>442</v>
      </c>
      <c r="G123" t="b">
        <v>1</v>
      </c>
    </row>
    <row r="124" spans="2:7" x14ac:dyDescent="0.3">
      <c r="B124" t="s">
        <v>14</v>
      </c>
      <c r="C124" t="s">
        <v>292</v>
      </c>
      <c r="D124" t="s">
        <v>293</v>
      </c>
      <c r="E124" t="s">
        <v>5</v>
      </c>
      <c r="F124" t="s">
        <v>441</v>
      </c>
      <c r="G124" t="b">
        <v>1</v>
      </c>
    </row>
    <row r="125" spans="2:7" x14ac:dyDescent="0.3">
      <c r="B125" t="s">
        <v>171</v>
      </c>
      <c r="C125" t="s">
        <v>292</v>
      </c>
      <c r="D125" t="s">
        <v>299</v>
      </c>
      <c r="E125" t="s">
        <v>7</v>
      </c>
      <c r="F125" t="s">
        <v>443</v>
      </c>
      <c r="G125" t="b">
        <v>0</v>
      </c>
    </row>
    <row r="126" spans="2:7" x14ac:dyDescent="0.3">
      <c r="B126" t="s">
        <v>141</v>
      </c>
      <c r="C126" t="s">
        <v>283</v>
      </c>
      <c r="D126" t="s">
        <v>285</v>
      </c>
      <c r="E126" t="s">
        <v>3</v>
      </c>
      <c r="F126" t="s">
        <v>442</v>
      </c>
      <c r="G126" t="b">
        <v>1</v>
      </c>
    </row>
    <row r="127" spans="2:7" x14ac:dyDescent="0.3">
      <c r="B127" t="s">
        <v>47</v>
      </c>
      <c r="C127" t="s">
        <v>344</v>
      </c>
      <c r="D127" t="s">
        <v>345</v>
      </c>
      <c r="E127" t="s">
        <v>3</v>
      </c>
      <c r="F127" t="s">
        <v>442</v>
      </c>
      <c r="G127" t="b">
        <v>0</v>
      </c>
    </row>
    <row r="128" spans="2:7" x14ac:dyDescent="0.3">
      <c r="B128" t="s">
        <v>160</v>
      </c>
      <c r="C128" t="s">
        <v>292</v>
      </c>
      <c r="D128" t="s">
        <v>299</v>
      </c>
      <c r="E128" t="s">
        <v>3</v>
      </c>
      <c r="F128" t="s">
        <v>443</v>
      </c>
      <c r="G128" t="b">
        <v>0</v>
      </c>
    </row>
    <row r="129" spans="2:7" x14ac:dyDescent="0.3">
      <c r="B129" t="s">
        <v>138</v>
      </c>
      <c r="C129" t="s">
        <v>290</v>
      </c>
      <c r="D129" t="s">
        <v>291</v>
      </c>
      <c r="E129" t="s">
        <v>5</v>
      </c>
      <c r="F129" t="s">
        <v>442</v>
      </c>
      <c r="G129" t="b">
        <v>1</v>
      </c>
    </row>
    <row r="130" spans="2:7" x14ac:dyDescent="0.3">
      <c r="B130" t="s">
        <v>93</v>
      </c>
      <c r="C130" t="s">
        <v>368</v>
      </c>
      <c r="D130" t="s">
        <v>369</v>
      </c>
      <c r="E130" t="s">
        <v>5</v>
      </c>
      <c r="F130" t="s">
        <v>442</v>
      </c>
      <c r="G130" t="b">
        <v>1</v>
      </c>
    </row>
    <row r="131" spans="2:7" x14ac:dyDescent="0.3">
      <c r="B131" t="s">
        <v>46</v>
      </c>
      <c r="C131" t="s">
        <v>344</v>
      </c>
      <c r="D131" t="s">
        <v>407</v>
      </c>
      <c r="E131" t="s">
        <v>7</v>
      </c>
      <c r="F131" t="s">
        <v>442</v>
      </c>
      <c r="G131" t="b">
        <v>1</v>
      </c>
    </row>
    <row r="132" spans="2:7" x14ac:dyDescent="0.3">
      <c r="B132" t="s">
        <v>53</v>
      </c>
      <c r="C132" t="s">
        <v>391</v>
      </c>
      <c r="D132" t="s">
        <v>403</v>
      </c>
      <c r="E132" t="s">
        <v>5</v>
      </c>
      <c r="F132" t="s">
        <v>442</v>
      </c>
      <c r="G132" t="b">
        <v>1</v>
      </c>
    </row>
    <row r="133" spans="2:7" x14ac:dyDescent="0.3">
      <c r="B133" t="s">
        <v>97</v>
      </c>
      <c r="C133" t="s">
        <v>296</v>
      </c>
      <c r="D133" t="s">
        <v>297</v>
      </c>
      <c r="E133" t="s">
        <v>5</v>
      </c>
      <c r="F133" t="s">
        <v>442</v>
      </c>
      <c r="G133" t="b">
        <v>0</v>
      </c>
    </row>
    <row r="134" spans="2:7" x14ac:dyDescent="0.3">
      <c r="B134" t="s">
        <v>76</v>
      </c>
      <c r="C134" t="s">
        <v>296</v>
      </c>
      <c r="D134" t="s">
        <v>297</v>
      </c>
      <c r="E134" t="s">
        <v>5</v>
      </c>
      <c r="F134" t="s">
        <v>442</v>
      </c>
      <c r="G134" t="b">
        <v>0</v>
      </c>
    </row>
    <row r="135" spans="2:7" x14ac:dyDescent="0.3">
      <c r="B135" t="s">
        <v>83</v>
      </c>
      <c r="C135" t="s">
        <v>300</v>
      </c>
      <c r="D135" t="s">
        <v>346</v>
      </c>
      <c r="E135" t="s">
        <v>5</v>
      </c>
      <c r="F135" t="s">
        <v>442</v>
      </c>
      <c r="G135" t="b">
        <v>1</v>
      </c>
    </row>
    <row r="136" spans="2:7" x14ac:dyDescent="0.3">
      <c r="B136" t="s">
        <v>55</v>
      </c>
      <c r="C136" t="s">
        <v>374</v>
      </c>
      <c r="D136" t="s">
        <v>375</v>
      </c>
      <c r="E136" t="s">
        <v>5</v>
      </c>
      <c r="F136" t="s">
        <v>442</v>
      </c>
      <c r="G136" t="b">
        <v>0</v>
      </c>
    </row>
    <row r="137" spans="2:7" x14ac:dyDescent="0.3">
      <c r="B137" t="s">
        <v>36</v>
      </c>
      <c r="C137" t="s">
        <v>300</v>
      </c>
      <c r="D137" t="s">
        <v>422</v>
      </c>
      <c r="E137" t="s">
        <v>5</v>
      </c>
      <c r="F137" t="s">
        <v>442</v>
      </c>
      <c r="G137" t="b">
        <v>1</v>
      </c>
    </row>
    <row r="138" spans="2:7" x14ac:dyDescent="0.3">
      <c r="B138" t="s">
        <v>143</v>
      </c>
      <c r="C138" t="s">
        <v>281</v>
      </c>
      <c r="D138" t="s">
        <v>282</v>
      </c>
      <c r="E138" t="s">
        <v>3</v>
      </c>
      <c r="F138" t="s">
        <v>442</v>
      </c>
      <c r="G138" t="b">
        <v>1</v>
      </c>
    </row>
    <row r="139" spans="2:7" x14ac:dyDescent="0.3">
      <c r="B139" t="s">
        <v>43</v>
      </c>
      <c r="C139" t="s">
        <v>349</v>
      </c>
      <c r="D139" t="s">
        <v>411</v>
      </c>
      <c r="E139" t="s">
        <v>5</v>
      </c>
      <c r="F139" t="s">
        <v>442</v>
      </c>
      <c r="G139" t="b">
        <v>1</v>
      </c>
    </row>
    <row r="140" spans="2:7" x14ac:dyDescent="0.3">
      <c r="B140" t="s">
        <v>33</v>
      </c>
      <c r="C140" t="s">
        <v>313</v>
      </c>
      <c r="D140" t="s">
        <v>314</v>
      </c>
      <c r="E140" t="s">
        <v>3</v>
      </c>
      <c r="F140" t="s">
        <v>443</v>
      </c>
      <c r="G140" t="b">
        <v>1</v>
      </c>
    </row>
    <row r="141" spans="2:7" x14ac:dyDescent="0.3">
      <c r="B141" t="s">
        <v>27</v>
      </c>
      <c r="C141" t="s">
        <v>376</v>
      </c>
      <c r="D141" t="s">
        <v>377</v>
      </c>
      <c r="E141" t="s">
        <v>5</v>
      </c>
      <c r="F141" t="s">
        <v>443</v>
      </c>
      <c r="G141" t="b">
        <v>1</v>
      </c>
    </row>
    <row r="142" spans="2:7" x14ac:dyDescent="0.3">
      <c r="B142" t="s">
        <v>176</v>
      </c>
      <c r="C142" t="s">
        <v>281</v>
      </c>
      <c r="D142" t="s">
        <v>322</v>
      </c>
      <c r="E142" t="s">
        <v>3</v>
      </c>
      <c r="F142" t="s">
        <v>443</v>
      </c>
      <c r="G142" t="b">
        <v>1</v>
      </c>
    </row>
    <row r="143" spans="2:7" x14ac:dyDescent="0.3">
      <c r="B143" t="s">
        <v>61</v>
      </c>
      <c r="C143" t="s">
        <v>300</v>
      </c>
      <c r="D143" t="s">
        <v>380</v>
      </c>
      <c r="E143" t="s">
        <v>5</v>
      </c>
      <c r="F143" t="s">
        <v>442</v>
      </c>
      <c r="G143" t="b">
        <v>1</v>
      </c>
    </row>
    <row r="144" spans="2:7" x14ac:dyDescent="0.3">
      <c r="B144" t="s">
        <v>172</v>
      </c>
      <c r="C144" t="s">
        <v>330</v>
      </c>
      <c r="D144" t="s">
        <v>331</v>
      </c>
      <c r="E144" t="s">
        <v>3</v>
      </c>
      <c r="F144" t="s">
        <v>443</v>
      </c>
      <c r="G144" t="b">
        <v>0</v>
      </c>
    </row>
    <row r="145" spans="2:7" x14ac:dyDescent="0.3">
      <c r="B145" t="s">
        <v>170</v>
      </c>
      <c r="C145" t="s">
        <v>389</v>
      </c>
      <c r="D145" t="s">
        <v>390</v>
      </c>
      <c r="E145" t="s">
        <v>5</v>
      </c>
      <c r="F145" t="s">
        <v>443</v>
      </c>
      <c r="G145" t="b">
        <v>0</v>
      </c>
    </row>
    <row r="146" spans="2:7" x14ac:dyDescent="0.3">
      <c r="B146" t="s">
        <v>44</v>
      </c>
      <c r="C146" t="s">
        <v>344</v>
      </c>
      <c r="D146" t="s">
        <v>407</v>
      </c>
      <c r="E146" t="s">
        <v>5</v>
      </c>
      <c r="F146" t="s">
        <v>442</v>
      </c>
      <c r="G146" t="b">
        <v>1</v>
      </c>
    </row>
    <row r="147" spans="2:7" x14ac:dyDescent="0.3">
      <c r="B147" t="s">
        <v>113</v>
      </c>
      <c r="C147" t="s">
        <v>300</v>
      </c>
      <c r="D147" t="s">
        <v>346</v>
      </c>
      <c r="E147" t="s">
        <v>7</v>
      </c>
      <c r="F147" t="s">
        <v>442</v>
      </c>
      <c r="G147" t="b">
        <v>1</v>
      </c>
    </row>
    <row r="148" spans="2:7" x14ac:dyDescent="0.3">
      <c r="B148" t="s">
        <v>12</v>
      </c>
      <c r="C148" t="s">
        <v>300</v>
      </c>
      <c r="D148" t="s">
        <v>301</v>
      </c>
      <c r="E148" t="s">
        <v>5</v>
      </c>
      <c r="F148" t="s">
        <v>441</v>
      </c>
      <c r="G148" t="b">
        <v>1</v>
      </c>
    </row>
    <row r="149" spans="2:7" x14ac:dyDescent="0.3">
      <c r="B149" t="s">
        <v>110</v>
      </c>
      <c r="C149" t="s">
        <v>300</v>
      </c>
      <c r="D149" t="s">
        <v>347</v>
      </c>
      <c r="E149" t="s">
        <v>5</v>
      </c>
      <c r="F149" t="s">
        <v>442</v>
      </c>
      <c r="G149" t="b">
        <v>1</v>
      </c>
    </row>
    <row r="150" spans="2:7" x14ac:dyDescent="0.3">
      <c r="B150" t="s">
        <v>25</v>
      </c>
      <c r="C150" t="s">
        <v>300</v>
      </c>
      <c r="D150" t="s">
        <v>379</v>
      </c>
      <c r="E150" t="s">
        <v>5</v>
      </c>
      <c r="F150" t="s">
        <v>443</v>
      </c>
      <c r="G150" t="b">
        <v>1</v>
      </c>
    </row>
    <row r="151" spans="2:7" x14ac:dyDescent="0.3">
      <c r="B151" t="s">
        <v>105</v>
      </c>
      <c r="C151" t="s">
        <v>300</v>
      </c>
      <c r="D151" t="s">
        <v>346</v>
      </c>
      <c r="E151" t="s">
        <v>7</v>
      </c>
      <c r="F151" t="s">
        <v>442</v>
      </c>
      <c r="G151" t="b">
        <v>1</v>
      </c>
    </row>
    <row r="152" spans="2:7" x14ac:dyDescent="0.3">
      <c r="B152" t="s">
        <v>68</v>
      </c>
      <c r="C152" t="s">
        <v>300</v>
      </c>
      <c r="D152" t="s">
        <v>393</v>
      </c>
      <c r="E152" t="s">
        <v>7</v>
      </c>
      <c r="F152" t="s">
        <v>442</v>
      </c>
      <c r="G152" t="b">
        <v>1</v>
      </c>
    </row>
    <row r="153" spans="2:7" x14ac:dyDescent="0.3">
      <c r="B153" t="s">
        <v>112</v>
      </c>
      <c r="C153" t="s">
        <v>300</v>
      </c>
      <c r="D153" t="s">
        <v>347</v>
      </c>
      <c r="E153" t="s">
        <v>5</v>
      </c>
      <c r="F153" t="s">
        <v>442</v>
      </c>
      <c r="G153" t="b">
        <v>1</v>
      </c>
    </row>
    <row r="154" spans="2:7" x14ac:dyDescent="0.3">
      <c r="B154" t="s">
        <v>22</v>
      </c>
      <c r="C154" t="s">
        <v>300</v>
      </c>
      <c r="D154" t="s">
        <v>379</v>
      </c>
      <c r="E154" t="s">
        <v>5</v>
      </c>
      <c r="F154" t="s">
        <v>443</v>
      </c>
      <c r="G154" t="b">
        <v>1</v>
      </c>
    </row>
    <row r="155" spans="2:7" x14ac:dyDescent="0.3">
      <c r="B155" t="s">
        <v>134</v>
      </c>
      <c r="C155" t="s">
        <v>300</v>
      </c>
      <c r="D155" t="s">
        <v>301</v>
      </c>
      <c r="E155" t="s">
        <v>5</v>
      </c>
      <c r="F155" t="s">
        <v>442</v>
      </c>
      <c r="G155" t="b">
        <v>1</v>
      </c>
    </row>
    <row r="156" spans="2:7" x14ac:dyDescent="0.3">
      <c r="B156" t="s">
        <v>58</v>
      </c>
      <c r="C156" t="s">
        <v>300</v>
      </c>
      <c r="D156" t="s">
        <v>380</v>
      </c>
      <c r="E156" t="s">
        <v>5</v>
      </c>
      <c r="F156" t="s">
        <v>442</v>
      </c>
      <c r="G156" t="b">
        <v>1</v>
      </c>
    </row>
    <row r="157" spans="2:7" x14ac:dyDescent="0.3">
      <c r="B157" t="s">
        <v>128</v>
      </c>
      <c r="C157" t="s">
        <v>315</v>
      </c>
      <c r="D157" t="s">
        <v>316</v>
      </c>
      <c r="E157" t="s">
        <v>63</v>
      </c>
      <c r="F157" t="s">
        <v>442</v>
      </c>
      <c r="G157" t="b">
        <v>1</v>
      </c>
    </row>
    <row r="158" spans="2:7" x14ac:dyDescent="0.3">
      <c r="B158" t="s">
        <v>56</v>
      </c>
      <c r="C158" t="s">
        <v>279</v>
      </c>
      <c r="D158" t="s">
        <v>401</v>
      </c>
      <c r="E158" t="s">
        <v>7</v>
      </c>
      <c r="F158" t="s">
        <v>442</v>
      </c>
      <c r="G158" t="b">
        <v>1</v>
      </c>
    </row>
    <row r="159" spans="2:7" x14ac:dyDescent="0.3">
      <c r="B159" t="s">
        <v>6</v>
      </c>
      <c r="C159" t="s">
        <v>300</v>
      </c>
      <c r="D159" t="s">
        <v>406</v>
      </c>
      <c r="E159" t="s">
        <v>7</v>
      </c>
      <c r="F159" t="s">
        <v>441</v>
      </c>
      <c r="G159" t="b">
        <v>1</v>
      </c>
    </row>
    <row r="160" spans="2:7" x14ac:dyDescent="0.3">
      <c r="B160" t="s">
        <v>135</v>
      </c>
      <c r="C160" t="s">
        <v>283</v>
      </c>
      <c r="D160" t="s">
        <v>298</v>
      </c>
      <c r="E160" t="s">
        <v>7</v>
      </c>
      <c r="F160" t="s">
        <v>442</v>
      </c>
      <c r="G160" t="b">
        <v>1</v>
      </c>
    </row>
    <row r="161" spans="2:7" x14ac:dyDescent="0.3">
      <c r="B161" t="s">
        <v>137</v>
      </c>
      <c r="C161" t="s">
        <v>290</v>
      </c>
      <c r="D161" t="s">
        <v>291</v>
      </c>
      <c r="E161" t="s">
        <v>7</v>
      </c>
      <c r="F161" t="s">
        <v>442</v>
      </c>
      <c r="G161" t="b">
        <v>1</v>
      </c>
    </row>
    <row r="162" spans="2:7" x14ac:dyDescent="0.3">
      <c r="B162" t="s">
        <v>84</v>
      </c>
      <c r="C162" t="s">
        <v>300</v>
      </c>
      <c r="D162" t="s">
        <v>380</v>
      </c>
      <c r="E162" t="s">
        <v>3</v>
      </c>
      <c r="F162" t="s">
        <v>442</v>
      </c>
      <c r="G162" t="b">
        <v>1</v>
      </c>
    </row>
    <row r="163" spans="2:7" x14ac:dyDescent="0.3">
      <c r="B163" t="s">
        <v>77</v>
      </c>
      <c r="C163" t="s">
        <v>300</v>
      </c>
      <c r="D163" t="s">
        <v>364</v>
      </c>
      <c r="E163" t="s">
        <v>7</v>
      </c>
      <c r="F163" t="s">
        <v>442</v>
      </c>
      <c r="G163" t="b">
        <v>1</v>
      </c>
    </row>
    <row r="164" spans="2:7" x14ac:dyDescent="0.3">
      <c r="B164" t="s">
        <v>156</v>
      </c>
      <c r="C164" t="s">
        <v>425</v>
      </c>
      <c r="D164" t="s">
        <v>426</v>
      </c>
      <c r="E164" t="s">
        <v>3</v>
      </c>
      <c r="F164" t="s">
        <v>443</v>
      </c>
      <c r="G164" t="b">
        <v>0</v>
      </c>
    </row>
    <row r="165" spans="2:7" x14ac:dyDescent="0.3">
      <c r="B165" t="s">
        <v>52</v>
      </c>
      <c r="C165" t="s">
        <v>404</v>
      </c>
      <c r="D165" t="s">
        <v>405</v>
      </c>
      <c r="E165" t="s">
        <v>7</v>
      </c>
      <c r="F165" t="s">
        <v>442</v>
      </c>
      <c r="G165" t="b">
        <v>0</v>
      </c>
    </row>
    <row r="166" spans="2:7" x14ac:dyDescent="0.3">
      <c r="B166" t="s">
        <v>16</v>
      </c>
      <c r="C166" t="s">
        <v>417</v>
      </c>
      <c r="D166" t="s">
        <v>418</v>
      </c>
      <c r="E166" t="s">
        <v>3</v>
      </c>
      <c r="F166" t="s">
        <v>443</v>
      </c>
      <c r="G166" t="b">
        <v>1</v>
      </c>
    </row>
    <row r="167" spans="2:7" x14ac:dyDescent="0.3">
      <c r="B167" t="s">
        <v>147</v>
      </c>
      <c r="C167" t="s">
        <v>374</v>
      </c>
      <c r="D167" t="s">
        <v>428</v>
      </c>
      <c r="E167" t="s">
        <v>7</v>
      </c>
      <c r="F167" t="s">
        <v>443</v>
      </c>
      <c r="G167" t="b">
        <v>0</v>
      </c>
    </row>
    <row r="168" spans="2:7" x14ac:dyDescent="0.3">
      <c r="B168" t="s">
        <v>126</v>
      </c>
      <c r="C168" t="s">
        <v>300</v>
      </c>
      <c r="D168" t="s">
        <v>301</v>
      </c>
      <c r="E168" t="s">
        <v>3</v>
      </c>
      <c r="F168" t="s">
        <v>442</v>
      </c>
      <c r="G168" t="b">
        <v>1</v>
      </c>
    </row>
    <row r="169" spans="2:7" x14ac:dyDescent="0.3">
      <c r="B169" t="s">
        <v>17</v>
      </c>
      <c r="C169" t="s">
        <v>300</v>
      </c>
      <c r="D169" t="s">
        <v>413</v>
      </c>
      <c r="E169" t="s">
        <v>3</v>
      </c>
      <c r="F169" t="s">
        <v>443</v>
      </c>
      <c r="G169" t="b">
        <v>1</v>
      </c>
    </row>
    <row r="170" spans="2:7" x14ac:dyDescent="0.3">
      <c r="B170" t="s">
        <v>117</v>
      </c>
      <c r="C170" t="s">
        <v>288</v>
      </c>
      <c r="D170" t="s">
        <v>340</v>
      </c>
      <c r="E170" t="s">
        <v>3</v>
      </c>
      <c r="F170" t="s">
        <v>442</v>
      </c>
      <c r="G170" t="b">
        <v>1</v>
      </c>
    </row>
    <row r="171" spans="2:7" x14ac:dyDescent="0.3">
      <c r="B171" t="s">
        <v>81</v>
      </c>
      <c r="C171" t="s">
        <v>382</v>
      </c>
      <c r="D171" t="s">
        <v>383</v>
      </c>
      <c r="E171" t="s">
        <v>3</v>
      </c>
      <c r="F171" t="s">
        <v>442</v>
      </c>
      <c r="G171" t="b">
        <v>0</v>
      </c>
    </row>
    <row r="172" spans="2:7" x14ac:dyDescent="0.3">
      <c r="B172" t="s">
        <v>48</v>
      </c>
      <c r="C172" t="s">
        <v>404</v>
      </c>
      <c r="D172" t="s">
        <v>405</v>
      </c>
      <c r="E172" t="s">
        <v>3</v>
      </c>
      <c r="F172" t="s">
        <v>442</v>
      </c>
      <c r="G172" t="b">
        <v>0</v>
      </c>
    </row>
    <row r="173" spans="2:7" x14ac:dyDescent="0.3">
      <c r="B173" t="s">
        <v>130</v>
      </c>
      <c r="C173" t="s">
        <v>279</v>
      </c>
      <c r="D173" t="s">
        <v>308</v>
      </c>
      <c r="E173" t="s">
        <v>3</v>
      </c>
      <c r="F173" t="s">
        <v>442</v>
      </c>
      <c r="G173" t="b">
        <v>1</v>
      </c>
    </row>
    <row r="174" spans="2:7" x14ac:dyDescent="0.3">
      <c r="B174" t="s">
        <v>166</v>
      </c>
      <c r="C174" t="s">
        <v>279</v>
      </c>
      <c r="D174" t="s">
        <v>400</v>
      </c>
      <c r="E174" t="s">
        <v>7</v>
      </c>
      <c r="F174" t="s">
        <v>443</v>
      </c>
      <c r="G174" t="b">
        <v>0</v>
      </c>
    </row>
    <row r="175" spans="2:7" x14ac:dyDescent="0.3">
      <c r="B175" t="s">
        <v>165</v>
      </c>
      <c r="C175" t="s">
        <v>279</v>
      </c>
      <c r="D175" t="s">
        <v>400</v>
      </c>
      <c r="E175" t="s">
        <v>7</v>
      </c>
      <c r="F175" t="s">
        <v>443</v>
      </c>
      <c r="G175" t="b">
        <v>0</v>
      </c>
    </row>
    <row r="176" spans="2:7" x14ac:dyDescent="0.3">
      <c r="B176" t="s">
        <v>121</v>
      </c>
      <c r="C176" t="s">
        <v>290</v>
      </c>
      <c r="D176" t="s">
        <v>329</v>
      </c>
      <c r="E176" t="s">
        <v>5</v>
      </c>
      <c r="F176" t="s">
        <v>442</v>
      </c>
      <c r="G176" t="b">
        <v>1</v>
      </c>
    </row>
    <row r="177" spans="2:7" x14ac:dyDescent="0.3">
      <c r="B177" t="s">
        <v>9</v>
      </c>
      <c r="C177" t="s">
        <v>359</v>
      </c>
      <c r="D177" t="s">
        <v>360</v>
      </c>
      <c r="E177" t="s">
        <v>5</v>
      </c>
      <c r="F177" t="s">
        <v>441</v>
      </c>
      <c r="G177" t="b">
        <v>1</v>
      </c>
    </row>
    <row r="178" spans="2:7" x14ac:dyDescent="0.3">
      <c r="B178" t="s">
        <v>64</v>
      </c>
      <c r="C178" t="s">
        <v>300</v>
      </c>
      <c r="D178" t="s">
        <v>302</v>
      </c>
      <c r="E178" t="s">
        <v>3</v>
      </c>
      <c r="F178" t="s">
        <v>442</v>
      </c>
      <c r="G178" t="b">
        <v>1</v>
      </c>
    </row>
    <row r="179" spans="2:7" x14ac:dyDescent="0.3">
      <c r="B179" t="s">
        <v>178</v>
      </c>
      <c r="C179" t="s">
        <v>288</v>
      </c>
      <c r="D179" t="s">
        <v>309</v>
      </c>
      <c r="E179" t="s">
        <v>7</v>
      </c>
      <c r="F179" t="s">
        <v>442</v>
      </c>
      <c r="G179" t="b">
        <v>1</v>
      </c>
    </row>
    <row r="180" spans="2:7" x14ac:dyDescent="0.3">
      <c r="B180" t="s">
        <v>122</v>
      </c>
      <c r="C180" t="s">
        <v>327</v>
      </c>
      <c r="D180" t="s">
        <v>328</v>
      </c>
      <c r="E180" t="s">
        <v>63</v>
      </c>
      <c r="F180" t="s">
        <v>442</v>
      </c>
      <c r="G180" t="b">
        <v>1</v>
      </c>
    </row>
    <row r="181" spans="2:7" x14ac:dyDescent="0.3">
      <c r="B181" t="s">
        <v>431</v>
      </c>
      <c r="C181" t="s">
        <v>432</v>
      </c>
      <c r="D181" t="s">
        <v>433</v>
      </c>
      <c r="E181" t="s">
        <v>3</v>
      </c>
      <c r="F181" t="s">
        <v>443</v>
      </c>
      <c r="G181" t="b">
        <v>0</v>
      </c>
    </row>
  </sheetData>
  <conditionalFormatting sqref="B5:G181">
    <cfRule type="expression" dxfId="0" priority="1">
      <formula>($G5=FALSE)</formula>
    </cfRule>
  </conditionalFormatting>
  <dataValidations count="1">
    <dataValidation type="list" allowBlank="1" showInputMessage="1" showErrorMessage="1" sqref="C2" xr:uid="{C9C6CD92-9F4C-4F85-9549-219E832630DB}">
      <formula1>"Jaq,Free,Excel Pro, Excel Guru"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84E3C-9DEC-45E4-81D8-EAE1292DBD40}">
  <sheetPr codeName="Sheet2"/>
  <dimension ref="B1:Q29"/>
  <sheetViews>
    <sheetView showGridLines="0" zoomScale="130" zoomScaleNormal="13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5" sqref="E5"/>
    </sheetView>
  </sheetViews>
  <sheetFormatPr defaultRowHeight="18.75" x14ac:dyDescent="0.3"/>
  <cols>
    <col min="1" max="1" width="3" customWidth="1"/>
    <col min="2" max="2" width="4" customWidth="1"/>
    <col min="3" max="3" width="42.3984375" bestFit="1" customWidth="1"/>
    <col min="4" max="4" width="7.69921875" bestFit="1" customWidth="1"/>
    <col min="5" max="5" width="42.3984375" bestFit="1" customWidth="1"/>
    <col min="7" max="7" width="9.19921875" bestFit="1" customWidth="1"/>
    <col min="8" max="8" width="9.19921875" customWidth="1"/>
    <col min="9" max="9" width="9" customWidth="1"/>
    <col min="10" max="10" width="10.3984375" customWidth="1"/>
    <col min="11" max="11" width="12.69921875" bestFit="1" customWidth="1"/>
    <col min="15" max="15" width="10.59765625" customWidth="1"/>
    <col min="16" max="16" width="10.296875" customWidth="1"/>
  </cols>
  <sheetData>
    <row r="1" spans="2:17" ht="10.5" customHeight="1" x14ac:dyDescent="0.3"/>
    <row r="2" spans="2:17" ht="40.5" customHeight="1" x14ac:dyDescent="0.3">
      <c r="D2">
        <f ca="1">IFERROR(AVERAGEIFS(_xlfn.ANCHORARRAY(D4),_xlfn.ANCHORARRAY(D4),"&lt;&gt;0"),0)</f>
        <v>0.47000000000000003</v>
      </c>
      <c r="F2">
        <f>IFERROR(AVERAGEIFS(_xlfn.ANCHORARRAY(F4),_xlfn.ANCHORARRAY(F4),"&lt;&gt;0"),0)</f>
        <v>0.5</v>
      </c>
      <c r="G2" s="2"/>
      <c r="H2" s="2"/>
      <c r="M2" s="4" t="s">
        <v>188</v>
      </c>
      <c r="N2" s="5"/>
      <c r="O2" s="5"/>
      <c r="P2" s="5"/>
    </row>
    <row r="3" spans="2:17" ht="37.5" x14ac:dyDescent="0.3">
      <c r="C3" s="1" t="s">
        <v>182</v>
      </c>
      <c r="D3" s="1" t="s">
        <v>1</v>
      </c>
      <c r="E3" s="1" t="s">
        <v>181</v>
      </c>
      <c r="F3" s="1" t="s">
        <v>1</v>
      </c>
      <c r="G3" s="1" t="s">
        <v>183</v>
      </c>
      <c r="H3" s="1" t="s">
        <v>187</v>
      </c>
      <c r="I3" s="3" t="s">
        <v>185</v>
      </c>
      <c r="J3" s="3" t="s">
        <v>189</v>
      </c>
      <c r="K3" s="3" t="s">
        <v>184</v>
      </c>
      <c r="M3" s="1" t="s">
        <v>183</v>
      </c>
      <c r="N3" s="3" t="s">
        <v>185</v>
      </c>
      <c r="O3" s="3" t="s">
        <v>189</v>
      </c>
      <c r="P3" s="3" t="s">
        <v>184</v>
      </c>
      <c r="Q3" s="3" t="s">
        <v>186</v>
      </c>
    </row>
    <row r="4" spans="2:17" x14ac:dyDescent="0.3">
      <c r="B4" t="str" cm="1">
        <f t="array" ref="B4:B29">Letters()</f>
        <v>A</v>
      </c>
      <c r="C4" t="str" cm="1">
        <f t="array" aca="1" ref="C4" ca="1">_xlfn.LET(
   _xlpm.games, _xlfn._xlws.FILTER(CaseList[Name], (LEFT(CaseList[Name]) = B4)*(CaseList[Access]=TRUE)),
   _xlpm.count, IF(ISERROR(ROWS(_xlpm.games)), 0, ROWS(_xlpm.games)),
   _xlpm.random, IF(_xlpm.count = 0, "NONE", INDEX(_xlpm.games, RANDBETWEEN(1, _xlpm.count))),
   _xlpm.random
)</f>
        <v>A Story About the Reels</v>
      </c>
      <c r="D4" cm="1">
        <f t="array" aca="1" ref="D4:D29" ca="1">(_xlfn.XMATCH(IF((C4:C29="NONE")+(C4:C29=""),"",_xlfn.XLOOKUP(C4:C29,CaseList[Name],CaseList[Difficulty])),{"","Easy","Moderate","Hard","Very Hard"},0)-1)/5</f>
        <v>0.2</v>
      </c>
      <c r="E4" t="s">
        <v>133</v>
      </c>
      <c r="F4" cm="1">
        <f t="array" ref="F4:F29">(_xlfn.XMATCH(IF((E4:E29="NONE")+(E4:E29=""),"",_xlfn.XLOOKUP(E4:E29,CaseList[Name],CaseList[Difficulty])),{"","Easy","Moderate","Hard","Very Hard"},0)-1)/5</f>
        <v>0.4</v>
      </c>
      <c r="G4">
        <v>1000</v>
      </c>
      <c r="H4">
        <f>20+7/60</f>
        <v>20.116666666666667</v>
      </c>
      <c r="I4">
        <f>20+7/60</f>
        <v>20.116666666666667</v>
      </c>
      <c r="J4">
        <f>7+58/60</f>
        <v>7.9666666666666668</v>
      </c>
      <c r="K4">
        <f>38/60</f>
        <v>0.6333333333333333</v>
      </c>
      <c r="M4">
        <f>G4/H4</f>
        <v>49.710024855012428</v>
      </c>
      <c r="N4">
        <f t="shared" ref="N4:N29" si="0">IFERROR($Q4/I4,0)</f>
        <v>49.710024855012428</v>
      </c>
      <c r="O4">
        <f t="shared" ref="O4:O29" si="1">IFERROR($Q4/J4,0)</f>
        <v>125.52301255230125</v>
      </c>
      <c r="P4">
        <f t="shared" ref="P4:P29" si="2">IFERROR($Q4/K4,0)</f>
        <v>1578.9473684210527</v>
      </c>
      <c r="Q4">
        <v>1000</v>
      </c>
    </row>
    <row r="5" spans="2:17" x14ac:dyDescent="0.3">
      <c r="B5" t="str">
        <v>B</v>
      </c>
      <c r="C5" t="str" cm="1">
        <f t="array" aca="1" ref="C5" ca="1">_xlfn.LET(
   _xlpm.games, _xlfn._xlws.FILTER(CaseList[Name], (LEFT(CaseList[Name]) = B5)*(CaseList[Access]=TRUE)),
   _xlpm.count, IF(ISERROR(ROWS(_xlpm.games)), 0, ROWS(_xlpm.games)),
   _xlpm.random, IF(_xlpm.count = 0, "NONE", INDEX(_xlpm.games, RANDBETWEEN(1, _xlpm.count))),
   _xlpm.random
)</f>
        <v>Bigger Portals</v>
      </c>
      <c r="D5">
        <f ca="1"/>
        <v>0.4</v>
      </c>
      <c r="E5" t="s">
        <v>18</v>
      </c>
      <c r="F5">
        <v>0.6</v>
      </c>
      <c r="M5">
        <f t="shared" ref="M5:M29" si="3">G5/30</f>
        <v>0</v>
      </c>
      <c r="N5">
        <f t="shared" si="0"/>
        <v>0</v>
      </c>
      <c r="O5">
        <f t="shared" si="1"/>
        <v>0</v>
      </c>
      <c r="P5">
        <f t="shared" si="2"/>
        <v>0</v>
      </c>
      <c r="Q5">
        <v>1250</v>
      </c>
    </row>
    <row r="6" spans="2:17" x14ac:dyDescent="0.3">
      <c r="B6" t="str">
        <v>C</v>
      </c>
      <c r="C6" t="str" cm="1">
        <f t="array" aca="1" ref="C6" ca="1">_xlfn.LET(
   _xlpm.games, _xlfn._xlws.FILTER(CaseList[Name], (LEFT(CaseList[Name]) = B6)*(CaseList[Access]=TRUE)),
   _xlpm.count, IF(ISERROR(ROWS(_xlpm.games)), 0, ROWS(_xlpm.games)),
   _xlpm.random, IF(_xlpm.count = 0, "NONE", INDEX(_xlpm.games, RANDBETWEEN(1, _xlpm.count))),
   _xlpm.random
)</f>
        <v>Clash On Titan</v>
      </c>
      <c r="D6">
        <f ca="1"/>
        <v>0.8</v>
      </c>
      <c r="F6">
        <v>0</v>
      </c>
      <c r="M6">
        <f t="shared" si="3"/>
        <v>0</v>
      </c>
      <c r="N6">
        <f t="shared" si="0"/>
        <v>0</v>
      </c>
      <c r="O6">
        <f t="shared" si="1"/>
        <v>0</v>
      </c>
      <c r="P6">
        <f t="shared" si="2"/>
        <v>0</v>
      </c>
      <c r="Q6">
        <v>1250</v>
      </c>
    </row>
    <row r="7" spans="2:17" x14ac:dyDescent="0.3">
      <c r="B7" t="str">
        <v>D</v>
      </c>
      <c r="C7" t="str" cm="1">
        <f t="array" aca="1" ref="C7" ca="1">_xlfn.LET(
   _xlpm.games, _xlfn._xlws.FILTER(CaseList[Name], (LEFT(CaseList[Name]) = B7)*(CaseList[Access]=TRUE)),
   _xlpm.count, IF(ISERROR(ROWS(_xlpm.games)), 0, ROWS(_xlpm.games)),
   _xlpm.random, IF(_xlpm.count = 0, "NONE", INDEX(_xlpm.games, RANDBETWEEN(1, _xlpm.count))),
   _xlpm.random
)</f>
        <v>Dominate the Dominoes</v>
      </c>
      <c r="D7">
        <f ca="1"/>
        <v>0.6</v>
      </c>
      <c r="F7">
        <v>0</v>
      </c>
      <c r="M7">
        <f t="shared" si="3"/>
        <v>0</v>
      </c>
      <c r="N7">
        <f t="shared" si="0"/>
        <v>0</v>
      </c>
      <c r="O7">
        <f t="shared" si="1"/>
        <v>0</v>
      </c>
      <c r="P7">
        <f t="shared" si="2"/>
        <v>0</v>
      </c>
      <c r="Q7">
        <v>1250</v>
      </c>
    </row>
    <row r="8" spans="2:17" x14ac:dyDescent="0.3">
      <c r="B8" t="str">
        <v>E</v>
      </c>
      <c r="C8" t="str" cm="1">
        <f t="array" aca="1" ref="C8" ca="1">_xlfn.LET(
   _xlpm.games, _xlfn._xlws.FILTER(CaseList[Name], (LEFT(CaseList[Name]) = B8)*(CaseList[Access]=TRUE)),
   _xlpm.count, IF(ISERROR(ROWS(_xlpm.games)), 0, ROWS(_xlpm.games)),
   _xlpm.random, IF(_xlpm.count = 0, "NONE", INDEX(_xlpm.games, RANDBETWEEN(1, _xlpm.count))),
   _xlpm.random
)</f>
        <v>Excel Superheroes</v>
      </c>
      <c r="D8">
        <f ca="1"/>
        <v>0.4</v>
      </c>
      <c r="F8">
        <v>0</v>
      </c>
      <c r="M8">
        <f t="shared" si="3"/>
        <v>0</v>
      </c>
      <c r="N8">
        <f t="shared" si="0"/>
        <v>0</v>
      </c>
      <c r="O8">
        <f t="shared" si="1"/>
        <v>0</v>
      </c>
      <c r="P8">
        <f t="shared" si="2"/>
        <v>0</v>
      </c>
      <c r="Q8">
        <v>1250</v>
      </c>
    </row>
    <row r="9" spans="2:17" x14ac:dyDescent="0.3">
      <c r="B9" t="str">
        <v>F</v>
      </c>
      <c r="C9" t="str" cm="1">
        <f t="array" aca="1" ref="C9" ca="1">_xlfn.LET(
   _xlpm.games, _xlfn._xlws.FILTER(CaseList[Name], (LEFT(CaseList[Name]) = B9)*(CaseList[Access]=TRUE)),
   _xlpm.count, IF(ISERROR(ROWS(_xlpm.games)), 0, ROWS(_xlpm.games)),
   _xlpm.random, IF(_xlpm.count = 0, "NONE", INDEX(_xlpm.games, RANDBETWEEN(1, _xlpm.count))),
   _xlpm.random
)</f>
        <v>Five Hundred</v>
      </c>
      <c r="D9">
        <f ca="1"/>
        <v>0.4</v>
      </c>
      <c r="F9">
        <v>0</v>
      </c>
      <c r="M9">
        <f t="shared" si="3"/>
        <v>0</v>
      </c>
      <c r="N9">
        <f t="shared" si="0"/>
        <v>0</v>
      </c>
      <c r="O9">
        <f t="shared" si="1"/>
        <v>0</v>
      </c>
      <c r="P9">
        <f t="shared" si="2"/>
        <v>0</v>
      </c>
      <c r="Q9">
        <v>1250</v>
      </c>
    </row>
    <row r="10" spans="2:17" x14ac:dyDescent="0.3">
      <c r="B10" t="str">
        <v>G</v>
      </c>
      <c r="C10" t="str" cm="1">
        <f t="array" aca="1" ref="C10" ca="1">_xlfn.LET(
   _xlpm.games, _xlfn._xlws.FILTER(CaseList[Name], (LEFT(CaseList[Name]) = B10)*(CaseList[Access]=TRUE)),
   _xlpm.count, IF(ISERROR(ROWS(_xlpm.games)), 0, ROWS(_xlpm.games)),
   _xlpm.random, IF(_xlpm.count = 0, "NONE", INDEX(_xlpm.games, RANDBETWEEN(1, _xlpm.count))),
   _xlpm.random
)</f>
        <v>Grocery Store Cleanup</v>
      </c>
      <c r="D10">
        <f ca="1"/>
        <v>0.4</v>
      </c>
      <c r="F10">
        <v>0</v>
      </c>
      <c r="M10">
        <f t="shared" si="3"/>
        <v>0</v>
      </c>
      <c r="N10">
        <f t="shared" si="0"/>
        <v>0</v>
      </c>
      <c r="O10">
        <f t="shared" si="1"/>
        <v>0</v>
      </c>
      <c r="P10">
        <f t="shared" si="2"/>
        <v>0</v>
      </c>
      <c r="Q10">
        <v>1250</v>
      </c>
    </row>
    <row r="11" spans="2:17" x14ac:dyDescent="0.3">
      <c r="B11" t="str">
        <v>H</v>
      </c>
      <c r="C11" t="str" cm="1">
        <f t="array" aca="1" ref="C11" ca="1">_xlfn.LET(
   _xlpm.games, _xlfn._xlws.FILTER(CaseList[Name], (LEFT(CaseList[Name]) = B11)*(CaseList[Access]=TRUE)),
   _xlpm.count, IF(ISERROR(ROWS(_xlpm.games)), 0, ROWS(_xlpm.games)),
   _xlpm.random, IF(_xlpm.count = 0, "NONE", INDEX(_xlpm.games, RANDBETWEEN(1, _xlpm.count))),
   _xlpm.random
)</f>
        <v>Hopscotch</v>
      </c>
      <c r="D11">
        <f ca="1"/>
        <v>0.6</v>
      </c>
      <c r="F11">
        <v>0</v>
      </c>
      <c r="M11">
        <f t="shared" si="3"/>
        <v>0</v>
      </c>
      <c r="N11">
        <f t="shared" si="0"/>
        <v>0</v>
      </c>
      <c r="O11">
        <f t="shared" si="1"/>
        <v>0</v>
      </c>
      <c r="P11">
        <f t="shared" si="2"/>
        <v>0</v>
      </c>
      <c r="Q11">
        <v>1250</v>
      </c>
    </row>
    <row r="12" spans="2:17" x14ac:dyDescent="0.3">
      <c r="B12" t="str">
        <v>I</v>
      </c>
      <c r="C12" t="str" cm="1">
        <f t="array" aca="1" ref="C12" ca="1">_xlfn.LET(
   _xlpm.games, _xlfn._xlws.FILTER(CaseList[Name], (LEFT(CaseList[Name]) = B12)*(CaseList[Access]=TRUE)),
   _xlpm.count, IF(ISERROR(ROWS(_xlpm.games)), 0, ROWS(_xlpm.games)),
   _xlpm.random, IF(_xlpm.count = 0, "NONE", INDEX(_xlpm.games, RANDBETWEEN(1, _xlpm.count))),
   _xlpm.random
)</f>
        <v>It's a Snake!</v>
      </c>
      <c r="D12">
        <f ca="1"/>
        <v>0.4</v>
      </c>
      <c r="F12">
        <v>0</v>
      </c>
      <c r="M12">
        <f t="shared" si="3"/>
        <v>0</v>
      </c>
      <c r="N12">
        <f t="shared" si="0"/>
        <v>0</v>
      </c>
      <c r="O12">
        <f t="shared" si="1"/>
        <v>0</v>
      </c>
      <c r="P12">
        <f t="shared" si="2"/>
        <v>0</v>
      </c>
      <c r="Q12">
        <v>1250</v>
      </c>
    </row>
    <row r="13" spans="2:17" x14ac:dyDescent="0.3">
      <c r="B13" t="str">
        <v>J</v>
      </c>
      <c r="C13" t="str" cm="1">
        <f t="array" aca="1" ref="C13" ca="1">_xlfn.LET(
   _xlpm.games, _xlfn._xlws.FILTER(CaseList[Name], (LEFT(CaseList[Name]) = B13)*(CaseList[Access]=TRUE)),
   _xlpm.count, IF(ISERROR(ROWS(_xlpm.games)), 0, ROWS(_xlpm.games)),
   _xlpm.random, IF(_xlpm.count = 0, "NONE", INDEX(_xlpm.games, RANDBETWEEN(1, _xlpm.count))),
   _xlpm.random
)</f>
        <v>Jumbled Jigsaws</v>
      </c>
      <c r="D13">
        <f ca="1"/>
        <v>0.6</v>
      </c>
      <c r="F13">
        <v>0</v>
      </c>
      <c r="M13">
        <f t="shared" si="3"/>
        <v>0</v>
      </c>
      <c r="N13">
        <f t="shared" si="0"/>
        <v>0</v>
      </c>
      <c r="O13">
        <f t="shared" si="1"/>
        <v>0</v>
      </c>
      <c r="P13">
        <f t="shared" si="2"/>
        <v>0</v>
      </c>
      <c r="Q13">
        <v>1250</v>
      </c>
    </row>
    <row r="14" spans="2:17" x14ac:dyDescent="0.3">
      <c r="B14" t="str">
        <v>K</v>
      </c>
      <c r="C14" t="str" cm="1">
        <f t="array" aca="1" ref="C14" ca="1">_xlfn.LET(
   _xlpm.games, _xlfn._xlws.FILTER(CaseList[Name], (LEFT(CaseList[Name]) = B14)*(CaseList[Access]=TRUE)),
   _xlpm.count, IF(ISERROR(ROWS(_xlpm.games)), 0, ROWS(_xlpm.games)),
   _xlpm.random, IF(_xlpm.count = 0, "NONE", INDEX(_xlpm.games, RANDBETWEEN(1, _xlpm.count))),
   _xlpm.random
)</f>
        <v>Kiwi Holiday</v>
      </c>
      <c r="D14">
        <f ca="1"/>
        <v>0.4</v>
      </c>
      <c r="F14">
        <v>0</v>
      </c>
      <c r="M14">
        <f t="shared" si="3"/>
        <v>0</v>
      </c>
      <c r="N14">
        <f t="shared" si="0"/>
        <v>0</v>
      </c>
      <c r="O14">
        <f t="shared" si="1"/>
        <v>0</v>
      </c>
      <c r="P14">
        <f t="shared" si="2"/>
        <v>0</v>
      </c>
      <c r="Q14">
        <v>1250</v>
      </c>
    </row>
    <row r="15" spans="2:17" x14ac:dyDescent="0.3">
      <c r="B15" t="str">
        <v>L</v>
      </c>
      <c r="C15" t="str" cm="1">
        <f t="array" aca="1" ref="C15" ca="1">_xlfn.LET(
   _xlpm.games, _xlfn._xlws.FILTER(CaseList[Name], (LEFT(CaseList[Name]) = B15)*(CaseList[Access]=TRUE)),
   _xlpm.count, IF(ISERROR(ROWS(_xlpm.games)), 0, ROWS(_xlpm.games)),
   _xlpm.random, IF(_xlpm.count = 0, "NONE", INDEX(_xlpm.games, RANDBETWEEN(1, _xlpm.count))),
   _xlpm.random
)</f>
        <v>Lottery</v>
      </c>
      <c r="D15">
        <f ca="1"/>
        <v>0.2</v>
      </c>
      <c r="F15">
        <v>0</v>
      </c>
      <c r="M15">
        <f t="shared" si="3"/>
        <v>0</v>
      </c>
      <c r="N15">
        <f t="shared" si="0"/>
        <v>0</v>
      </c>
      <c r="O15">
        <f t="shared" si="1"/>
        <v>0</v>
      </c>
      <c r="P15">
        <f t="shared" si="2"/>
        <v>0</v>
      </c>
      <c r="Q15">
        <v>1250</v>
      </c>
    </row>
    <row r="16" spans="2:17" x14ac:dyDescent="0.3">
      <c r="B16" t="str">
        <v>M</v>
      </c>
      <c r="C16" t="str" cm="1">
        <f t="array" aca="1" ref="C16" ca="1">_xlfn.LET(
   _xlpm.games, _xlfn._xlws.FILTER(CaseList[Name], (LEFT(CaseList[Name]) = B16)*(CaseList[Access]=TRUE)),
   _xlpm.count, IF(ISERROR(ROWS(_xlpm.games)), 0, ROWS(_xlpm.games)),
   _xlpm.random, IF(_xlpm.count = 0, "NONE", INDEX(_xlpm.games, RANDBETWEEN(1, _xlpm.count))),
   _xlpm.random
)</f>
        <v>Modelario, a Platform Game</v>
      </c>
      <c r="D16">
        <f ca="1"/>
        <v>0.8</v>
      </c>
      <c r="F16">
        <v>0</v>
      </c>
      <c r="M16">
        <f t="shared" si="3"/>
        <v>0</v>
      </c>
      <c r="N16">
        <f t="shared" si="0"/>
        <v>0</v>
      </c>
      <c r="O16">
        <f t="shared" si="1"/>
        <v>0</v>
      </c>
      <c r="P16">
        <f t="shared" si="2"/>
        <v>0</v>
      </c>
      <c r="Q16">
        <v>1250</v>
      </c>
    </row>
    <row r="17" spans="2:17" x14ac:dyDescent="0.3">
      <c r="B17" t="str">
        <v>N</v>
      </c>
      <c r="C17" t="str" cm="1">
        <f t="array" aca="1" ref="C17" ca="1">_xlfn.LET(
   _xlpm.games, _xlfn._xlws.FILTER(CaseList[Name], (LEFT(CaseList[Name]) = B17)*(CaseList[Access]=TRUE)),
   _xlpm.count, IF(ISERROR(ROWS(_xlpm.games)), 0, ROWS(_xlpm.games)),
   _xlpm.random, IF(_xlpm.count = 0, "NONE", INDEX(_xlpm.games, RANDBETWEEN(1, _xlpm.count))),
   _xlpm.random
)</f>
        <v>NONE</v>
      </c>
      <c r="D17">
        <f ca="1"/>
        <v>0</v>
      </c>
      <c r="F17">
        <v>0</v>
      </c>
      <c r="M17">
        <f t="shared" si="3"/>
        <v>0</v>
      </c>
      <c r="N17">
        <f t="shared" si="0"/>
        <v>0</v>
      </c>
      <c r="O17">
        <f t="shared" si="1"/>
        <v>0</v>
      </c>
      <c r="P17">
        <f t="shared" si="2"/>
        <v>0</v>
      </c>
      <c r="Q17">
        <v>1250</v>
      </c>
    </row>
    <row r="18" spans="2:17" x14ac:dyDescent="0.3">
      <c r="B18" t="str">
        <v>O</v>
      </c>
      <c r="C18" t="str" cm="1">
        <f t="array" aca="1" ref="C18" ca="1">_xlfn.LET(
   _xlpm.games, _xlfn._xlws.FILTER(CaseList[Name], (LEFT(CaseList[Name]) = B18)*(CaseList[Access]=TRUE)),
   _xlpm.count, IF(ISERROR(ROWS(_xlpm.games)), 0, ROWS(_xlpm.games)),
   _xlpm.random, IF(_xlpm.count = 0, "NONE", INDEX(_xlpm.games, RANDBETWEEN(1, _xlpm.count))),
   _xlpm.random
)</f>
        <v>Othello</v>
      </c>
      <c r="D18">
        <f ca="1"/>
        <v>0.4</v>
      </c>
      <c r="F18">
        <v>0</v>
      </c>
      <c r="M18">
        <f t="shared" si="3"/>
        <v>0</v>
      </c>
      <c r="N18">
        <f t="shared" si="0"/>
        <v>0</v>
      </c>
      <c r="O18">
        <f t="shared" si="1"/>
        <v>0</v>
      </c>
      <c r="P18">
        <f t="shared" si="2"/>
        <v>0</v>
      </c>
      <c r="Q18">
        <v>1250</v>
      </c>
    </row>
    <row r="19" spans="2:17" x14ac:dyDescent="0.3">
      <c r="B19" t="str">
        <v>P</v>
      </c>
      <c r="C19" t="str" cm="1">
        <f t="array" aca="1" ref="C19" ca="1">_xlfn.LET(
   _xlpm.games, _xlfn._xlws.FILTER(CaseList[Name], (LEFT(CaseList[Name]) = B19)*(CaseList[Access]=TRUE)),
   _xlpm.count, IF(ISERROR(ROWS(_xlpm.games)), 0, ROWS(_xlpm.games)),
   _xlpm.random, IF(_xlpm.count = 0, "NONE", INDEX(_xlpm.games, RANDBETWEEN(1, _xlpm.count))),
   _xlpm.random
)</f>
        <v>Potions Master</v>
      </c>
      <c r="D19">
        <f ca="1"/>
        <v>0.2</v>
      </c>
      <c r="F19">
        <v>0</v>
      </c>
      <c r="M19">
        <f t="shared" si="3"/>
        <v>0</v>
      </c>
      <c r="N19">
        <f t="shared" si="0"/>
        <v>0</v>
      </c>
      <c r="O19">
        <f t="shared" si="1"/>
        <v>0</v>
      </c>
      <c r="P19">
        <f t="shared" si="2"/>
        <v>0</v>
      </c>
      <c r="Q19">
        <v>1250</v>
      </c>
    </row>
    <row r="20" spans="2:17" x14ac:dyDescent="0.3">
      <c r="B20" t="str">
        <v>Q</v>
      </c>
      <c r="C20" t="str" cm="1">
        <f t="array" aca="1" ref="C20" ca="1">_xlfn.LET(
   _xlpm.games, _xlfn._xlws.FILTER(CaseList[Name], (LEFT(CaseList[Name]) = B20)*(CaseList[Access]=TRUE)),
   _xlpm.count, IF(ISERROR(ROWS(_xlpm.games)), 0, ROWS(_xlpm.games)),
   _xlpm.random, IF(_xlpm.count = 0, "NONE", INDEX(_xlpm.games, RANDBETWEEN(1, _xlpm.count))),
   _xlpm.random
)</f>
        <v>NONE</v>
      </c>
      <c r="D20">
        <f ca="1"/>
        <v>0</v>
      </c>
      <c r="F20">
        <v>0</v>
      </c>
      <c r="M20">
        <f t="shared" si="3"/>
        <v>0</v>
      </c>
      <c r="N20">
        <f t="shared" si="0"/>
        <v>0</v>
      </c>
      <c r="O20">
        <f t="shared" si="1"/>
        <v>0</v>
      </c>
      <c r="P20">
        <f t="shared" si="2"/>
        <v>0</v>
      </c>
      <c r="Q20">
        <v>1250</v>
      </c>
    </row>
    <row r="21" spans="2:17" x14ac:dyDescent="0.3">
      <c r="B21" t="str">
        <v>R</v>
      </c>
      <c r="C21" t="str" cm="1">
        <f t="array" aca="1" ref="C21" ca="1">_xlfn.LET(
   _xlpm.games, _xlfn._xlws.FILTER(CaseList[Name], (LEFT(CaseList[Name]) = B21)*(CaseList[Access]=TRUE)),
   _xlpm.count, IF(ISERROR(ROWS(_xlpm.games)), 0, ROWS(_xlpm.games)),
   _xlpm.random, IF(_xlpm.count = 0, "NONE", INDEX(_xlpm.games, RANDBETWEEN(1, _xlpm.count))),
   _xlpm.random
)</f>
        <v>Réunion: A Volcano Island</v>
      </c>
      <c r="D21">
        <f ca="1"/>
        <v>0.6</v>
      </c>
      <c r="F21">
        <v>0</v>
      </c>
      <c r="M21">
        <f t="shared" si="3"/>
        <v>0</v>
      </c>
      <c r="N21">
        <f t="shared" si="0"/>
        <v>0</v>
      </c>
      <c r="O21">
        <f t="shared" si="1"/>
        <v>0</v>
      </c>
      <c r="P21">
        <f t="shared" si="2"/>
        <v>0</v>
      </c>
      <c r="Q21">
        <v>1250</v>
      </c>
    </row>
    <row r="22" spans="2:17" x14ac:dyDescent="0.3">
      <c r="B22" t="str">
        <v>S</v>
      </c>
      <c r="C22" t="str" cm="1">
        <f t="array" aca="1" ref="C22" ca="1">_xlfn.LET(
   _xlpm.games, _xlfn._xlws.FILTER(CaseList[Name], (LEFT(CaseList[Name]) = B22)*(CaseList[Access]=TRUE)),
   _xlpm.count, IF(ISERROR(ROWS(_xlpm.games)), 0, ROWS(_xlpm.games)),
   _xlpm.random, IF(_xlpm.count = 0, "NONE", INDEX(_xlpm.games, RANDBETWEEN(1, _xlpm.count))),
   _xlpm.random
)</f>
        <v>Sommelier</v>
      </c>
      <c r="D22">
        <f ca="1"/>
        <v>0.4</v>
      </c>
      <c r="F22">
        <v>0</v>
      </c>
      <c r="M22">
        <f t="shared" si="3"/>
        <v>0</v>
      </c>
      <c r="N22">
        <f t="shared" si="0"/>
        <v>0</v>
      </c>
      <c r="O22">
        <f t="shared" si="1"/>
        <v>0</v>
      </c>
      <c r="P22">
        <f t="shared" si="2"/>
        <v>0</v>
      </c>
      <c r="Q22">
        <v>1250</v>
      </c>
    </row>
    <row r="23" spans="2:17" x14ac:dyDescent="0.3">
      <c r="B23" t="str">
        <v>T</v>
      </c>
      <c r="C23" t="str" cm="1">
        <f t="array" aca="1" ref="C23" ca="1">_xlfn.LET(
   _xlpm.games, _xlfn._xlws.FILTER(CaseList[Name], (LEFT(CaseList[Name]) = B23)*(CaseList[Access]=TRUE)),
   _xlpm.count, IF(ISERROR(ROWS(_xlpm.games)), 0, ROWS(_xlpm.games)),
   _xlpm.random, IF(_xlpm.count = 0, "NONE", INDEX(_xlpm.games, RANDBETWEEN(1, _xlpm.count))),
   _xlpm.random
)</f>
        <v>The 24 Hours of Le MEWC</v>
      </c>
      <c r="D23">
        <f ca="1"/>
        <v>0.4</v>
      </c>
      <c r="F23">
        <v>0</v>
      </c>
      <c r="M23">
        <f t="shared" si="3"/>
        <v>0</v>
      </c>
      <c r="N23">
        <f t="shared" si="0"/>
        <v>0</v>
      </c>
      <c r="O23">
        <f t="shared" si="1"/>
        <v>0</v>
      </c>
      <c r="P23">
        <f t="shared" si="2"/>
        <v>0</v>
      </c>
      <c r="Q23">
        <v>1250</v>
      </c>
    </row>
    <row r="24" spans="2:17" x14ac:dyDescent="0.3">
      <c r="B24" t="str">
        <v>U</v>
      </c>
      <c r="C24" t="str" cm="1">
        <f t="array" aca="1" ref="C24" ca="1">_xlfn.LET(
   _xlpm.games, _xlfn._xlws.FILTER(CaseList[Name], (LEFT(CaseList[Name]) = B24)*(CaseList[Access]=TRUE)),
   _xlpm.count, IF(ISERROR(ROWS(_xlpm.games)), 0, ROWS(_xlpm.games)),
   _xlpm.random, IF(_xlpm.count = 0, "NONE", INDEX(_xlpm.games, RANDBETWEEN(1, _xlpm.count))),
   _xlpm.random
)</f>
        <v>NONE</v>
      </c>
      <c r="D24">
        <f ca="1"/>
        <v>0</v>
      </c>
      <c r="F24">
        <v>0</v>
      </c>
      <c r="M24">
        <f t="shared" si="3"/>
        <v>0</v>
      </c>
      <c r="N24">
        <f t="shared" si="0"/>
        <v>0</v>
      </c>
      <c r="O24">
        <f t="shared" si="1"/>
        <v>0</v>
      </c>
      <c r="P24">
        <f t="shared" si="2"/>
        <v>0</v>
      </c>
      <c r="Q24">
        <v>1250</v>
      </c>
    </row>
    <row r="25" spans="2:17" x14ac:dyDescent="0.3">
      <c r="B25" t="str">
        <v>V</v>
      </c>
      <c r="C25" t="str" cm="1">
        <f t="array" aca="1" ref="C25" ca="1">_xlfn.LET(
   _xlpm.games, _xlfn._xlws.FILTER(CaseList[Name], (LEFT(CaseList[Name]) = B25)*(CaseList[Access]=TRUE)),
   _xlpm.count, IF(ISERROR(ROWS(_xlpm.games)), 0, ROWS(_xlpm.games)),
   _xlpm.random, IF(_xlpm.count = 0, "NONE", INDEX(_xlpm.games, RANDBETWEEN(1, _xlpm.count))),
   _xlpm.random
)</f>
        <v>VSTACK-Man</v>
      </c>
      <c r="D25">
        <f ca="1"/>
        <v>0.6</v>
      </c>
      <c r="F25">
        <v>0</v>
      </c>
      <c r="M25">
        <f t="shared" si="3"/>
        <v>0</v>
      </c>
      <c r="N25">
        <f t="shared" si="0"/>
        <v>0</v>
      </c>
      <c r="O25">
        <f t="shared" si="1"/>
        <v>0</v>
      </c>
      <c r="P25">
        <f t="shared" si="2"/>
        <v>0</v>
      </c>
      <c r="Q25">
        <v>1250</v>
      </c>
    </row>
    <row r="26" spans="2:17" x14ac:dyDescent="0.3">
      <c r="B26" t="str">
        <v>W</v>
      </c>
      <c r="C26" t="str" cm="1">
        <f t="array" aca="1" ref="C26" ca="1">_xlfn.LET(
   _xlpm.games, _xlfn._xlws.FILTER(CaseList[Name], (LEFT(CaseList[Name]) = B26)*(CaseList[Access]=TRUE)),
   _xlpm.count, IF(ISERROR(ROWS(_xlpm.games)), 0, ROWS(_xlpm.games)),
   _xlpm.random, IF(_xlpm.count = 0, "NONE", INDEX(_xlpm.games, RANDBETWEEN(1, _xlpm.count))),
   _xlpm.random
)</f>
        <v>Wabble</v>
      </c>
      <c r="D26">
        <f ca="1"/>
        <v>0.6</v>
      </c>
      <c r="F26">
        <v>0</v>
      </c>
      <c r="M26">
        <f t="shared" si="3"/>
        <v>0</v>
      </c>
      <c r="N26">
        <f t="shared" si="0"/>
        <v>0</v>
      </c>
      <c r="O26">
        <f t="shared" si="1"/>
        <v>0</v>
      </c>
      <c r="P26">
        <f t="shared" si="2"/>
        <v>0</v>
      </c>
      <c r="Q26">
        <v>1250</v>
      </c>
    </row>
    <row r="27" spans="2:17" x14ac:dyDescent="0.3">
      <c r="B27" t="str">
        <v>X</v>
      </c>
      <c r="C27" t="str" cm="1">
        <f t="array" aca="1" ref="C27" ca="1">_xlfn.LET(
   _xlpm.games, _xlfn._xlws.FILTER(CaseList[Name], (LEFT(CaseList[Name]) = B27)*(CaseList[Access]=TRUE)),
   _xlpm.count, IF(ISERROR(ROWS(_xlpm.games)), 0, ROWS(_xlpm.games)),
   _xlpm.random, IF(_xlpm.count = 0, "NONE", INDEX(_xlpm.games, RANDBETWEEN(1, _xlpm.count))),
   _xlpm.random
)</f>
        <v>NONE</v>
      </c>
      <c r="D27">
        <f ca="1"/>
        <v>0</v>
      </c>
      <c r="F27">
        <v>0</v>
      </c>
      <c r="M27">
        <f t="shared" si="3"/>
        <v>0</v>
      </c>
      <c r="N27">
        <f t="shared" si="0"/>
        <v>0</v>
      </c>
      <c r="O27">
        <f t="shared" si="1"/>
        <v>0</v>
      </c>
      <c r="P27">
        <f t="shared" si="2"/>
        <v>0</v>
      </c>
      <c r="Q27">
        <v>1250</v>
      </c>
    </row>
    <row r="28" spans="2:17" x14ac:dyDescent="0.3">
      <c r="B28" t="str">
        <v>Y</v>
      </c>
      <c r="C28" t="str" cm="1">
        <f t="array" aca="1" ref="C28" ca="1">_xlfn.LET(
   _xlpm.games, _xlfn._xlws.FILTER(CaseList[Name], (LEFT(CaseList[Name]) = B28)*(CaseList[Access]=TRUE)),
   _xlpm.count, IF(ISERROR(ROWS(_xlpm.games)), 0, ROWS(_xlpm.games)),
   _xlpm.random, IF(_xlpm.count = 0, "NONE", INDEX(_xlpm.games, RANDBETWEEN(1, _xlpm.count))),
   _xlpm.random
)</f>
        <v>NONE</v>
      </c>
      <c r="D28">
        <f ca="1"/>
        <v>0</v>
      </c>
      <c r="F28">
        <v>0</v>
      </c>
      <c r="M28">
        <f t="shared" si="3"/>
        <v>0</v>
      </c>
      <c r="N28">
        <f t="shared" si="0"/>
        <v>0</v>
      </c>
      <c r="O28">
        <f t="shared" si="1"/>
        <v>0</v>
      </c>
      <c r="P28">
        <f t="shared" si="2"/>
        <v>0</v>
      </c>
      <c r="Q28">
        <v>1250</v>
      </c>
    </row>
    <row r="29" spans="2:17" x14ac:dyDescent="0.3">
      <c r="B29" t="str">
        <v>Z</v>
      </c>
      <c r="C29" t="str" cm="1">
        <f t="array" aca="1" ref="C29" ca="1">_xlfn.LET(
   _xlpm.games, _xlfn._xlws.FILTER(CaseList[Name], (LEFT(CaseList[Name]) = B29)*(CaseList[Access]=TRUE)),
   _xlpm.count, IF(ISERROR(ROWS(_xlpm.games)), 0, ROWS(_xlpm.games)),
   _xlpm.random, IF(_xlpm.count = 0, "NONE", INDEX(_xlpm.games, RANDBETWEEN(1, _xlpm.count))),
   _xlpm.random
)</f>
        <v>NONE</v>
      </c>
      <c r="D29">
        <f ca="1"/>
        <v>0</v>
      </c>
      <c r="F29">
        <v>0</v>
      </c>
      <c r="M29">
        <f t="shared" si="3"/>
        <v>0</v>
      </c>
      <c r="N29">
        <f t="shared" si="0"/>
        <v>0</v>
      </c>
      <c r="O29">
        <f t="shared" si="1"/>
        <v>0</v>
      </c>
      <c r="P29">
        <f t="shared" si="2"/>
        <v>0</v>
      </c>
      <c r="Q29">
        <v>1250</v>
      </c>
    </row>
  </sheetData>
  <conditionalFormatting sqref="F2">
    <cfRule type="iconSet" priority="9">
      <iconSet iconSet="5Quarters" showValue="0">
        <cfvo type="percent" val="0"/>
        <cfvo type="num" val="0.2"/>
        <cfvo type="num" val="0.4"/>
        <cfvo type="num" val="0.6"/>
        <cfvo type="num" val="0.8"/>
      </iconSet>
    </cfRule>
  </conditionalFormatting>
  <conditionalFormatting sqref="F4:F29">
    <cfRule type="iconSet" priority="4">
      <iconSet iconSet="5Quarters" showValue="0">
        <cfvo type="percent" val="0"/>
        <cfvo type="num" val="0.2"/>
        <cfvo type="num" val="0.4"/>
        <cfvo type="num" val="0.6"/>
        <cfvo type="num" val="0.8"/>
      </iconSet>
    </cfRule>
  </conditionalFormatting>
  <conditionalFormatting sqref="D4:D29">
    <cfRule type="iconSet" priority="3">
      <iconSet iconSet="5Quarters" showValue="0">
        <cfvo type="percent" val="0"/>
        <cfvo type="num" val="0.2"/>
        <cfvo type="num" val="0.4"/>
        <cfvo type="num" val="0.6"/>
        <cfvo type="num" val="0.8"/>
      </iconSet>
    </cfRule>
  </conditionalFormatting>
  <conditionalFormatting sqref="D2">
    <cfRule type="iconSet" priority="1">
      <iconSet iconSet="5Quarters" showValue="0">
        <cfvo type="percent" val="0"/>
        <cfvo type="num" val="0.2"/>
        <cfvo type="num" val="0.4"/>
        <cfvo type="num" val="0.6"/>
        <cfvo type="num" val="0.8"/>
      </iconSet>
    </cfRule>
  </conditionalFormatting>
  <pageMargins left="0.7" right="0.7" top="0.75" bottom="0.75" header="0.3" footer="0.3"/>
  <drawing r:id="rId1"/>
  <legacy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negative="1" xr2:uid="{66583393-5A97-436E-94E8-AF7E36470B61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'A-Z'!M4:P4</xm:f>
              <xm:sqref>L4</xm:sqref>
            </x14:sparkline>
            <x14:sparkline>
              <xm:f>'A-Z'!M5:P5</xm:f>
              <xm:sqref>L5</xm:sqref>
            </x14:sparkline>
            <x14:sparkline>
              <xm:f>'A-Z'!M6:P6</xm:f>
              <xm:sqref>L6</xm:sqref>
            </x14:sparkline>
            <x14:sparkline>
              <xm:f>'A-Z'!M7:P7</xm:f>
              <xm:sqref>L7</xm:sqref>
            </x14:sparkline>
            <x14:sparkline>
              <xm:f>'A-Z'!M8:P8</xm:f>
              <xm:sqref>L8</xm:sqref>
            </x14:sparkline>
            <x14:sparkline>
              <xm:f>'A-Z'!M9:P9</xm:f>
              <xm:sqref>L9</xm:sqref>
            </x14:sparkline>
            <x14:sparkline>
              <xm:f>'A-Z'!M10:P10</xm:f>
              <xm:sqref>L10</xm:sqref>
            </x14:sparkline>
            <x14:sparkline>
              <xm:f>'A-Z'!M11:P11</xm:f>
              <xm:sqref>L11</xm:sqref>
            </x14:sparkline>
            <x14:sparkline>
              <xm:f>'A-Z'!M12:P12</xm:f>
              <xm:sqref>L12</xm:sqref>
            </x14:sparkline>
            <x14:sparkline>
              <xm:f>'A-Z'!M13:P13</xm:f>
              <xm:sqref>L13</xm:sqref>
            </x14:sparkline>
            <x14:sparkline>
              <xm:f>'A-Z'!M14:P14</xm:f>
              <xm:sqref>L14</xm:sqref>
            </x14:sparkline>
            <x14:sparkline>
              <xm:f>'A-Z'!M15:P15</xm:f>
              <xm:sqref>L15</xm:sqref>
            </x14:sparkline>
            <x14:sparkline>
              <xm:f>'A-Z'!M16:P16</xm:f>
              <xm:sqref>L16</xm:sqref>
            </x14:sparkline>
            <x14:sparkline>
              <xm:f>'A-Z'!M17:P17</xm:f>
              <xm:sqref>L17</xm:sqref>
            </x14:sparkline>
            <x14:sparkline>
              <xm:f>'A-Z'!M18:P18</xm:f>
              <xm:sqref>L18</xm:sqref>
            </x14:sparkline>
            <x14:sparkline>
              <xm:f>'A-Z'!M19:P19</xm:f>
              <xm:sqref>L19</xm:sqref>
            </x14:sparkline>
            <x14:sparkline>
              <xm:f>'A-Z'!M20:P20</xm:f>
              <xm:sqref>L20</xm:sqref>
            </x14:sparkline>
            <x14:sparkline>
              <xm:f>'A-Z'!M21:P21</xm:f>
              <xm:sqref>L21</xm:sqref>
            </x14:sparkline>
            <x14:sparkline>
              <xm:f>'A-Z'!M22:P22</xm:f>
              <xm:sqref>L22</xm:sqref>
            </x14:sparkline>
            <x14:sparkline>
              <xm:f>'A-Z'!M23:P23</xm:f>
              <xm:sqref>L23</xm:sqref>
            </x14:sparkline>
            <x14:sparkline>
              <xm:f>'A-Z'!M24:P24</xm:f>
              <xm:sqref>L24</xm:sqref>
            </x14:sparkline>
            <x14:sparkline>
              <xm:f>'A-Z'!M25:P25</xm:f>
              <xm:sqref>L25</xm:sqref>
            </x14:sparkline>
            <x14:sparkline>
              <xm:f>'A-Z'!M26:P26</xm:f>
              <xm:sqref>L26</xm:sqref>
            </x14:sparkline>
            <x14:sparkline>
              <xm:f>'A-Z'!M27:P27</xm:f>
              <xm:sqref>L27</xm:sqref>
            </x14:sparkline>
            <x14:sparkline>
              <xm:f>'A-Z'!M28:P28</xm:f>
              <xm:sqref>L28</xm:sqref>
            </x14:sparkline>
            <x14:sparkline>
              <xm:f>'A-Z'!M29:P29</xm:f>
              <xm:sqref>L29</xm:sqref>
            </x14:sparkline>
          </x14:sparklines>
        </x14:sparklineGroup>
      </x14:sparklineGroup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A2180-084C-4DC4-8A93-9107195893DF}">
  <sheetPr codeName="Sheet3"/>
  <dimension ref="B2:J23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8.75" x14ac:dyDescent="0.3"/>
  <cols>
    <col min="1" max="1" width="1.69921875" customWidth="1"/>
    <col min="3" max="3" width="28.19921875" bestFit="1" customWidth="1"/>
    <col min="4" max="4" width="13.19921875" bestFit="1" customWidth="1"/>
    <col min="5" max="5" width="17.69921875" bestFit="1" customWidth="1"/>
    <col min="6" max="6" width="85.3984375" bestFit="1" customWidth="1"/>
    <col min="7" max="7" width="11.59765625" style="8" bestFit="1" customWidth="1"/>
    <col min="8" max="8" width="8.5" customWidth="1"/>
  </cols>
  <sheetData>
    <row r="2" spans="2:10" ht="64.5" thickBot="1" x14ac:dyDescent="1.05">
      <c r="B2" s="10" t="s">
        <v>270</v>
      </c>
      <c r="C2" s="10"/>
      <c r="D2" s="10"/>
      <c r="E2" s="10"/>
      <c r="F2" s="10"/>
      <c r="G2" s="10"/>
      <c r="H2" s="10"/>
      <c r="I2" s="10"/>
      <c r="J2" s="10"/>
    </row>
    <row r="3" spans="2:10" ht="19.5" thickTop="1" x14ac:dyDescent="0.3"/>
    <row r="4" spans="2:10" x14ac:dyDescent="0.3">
      <c r="B4" s="1" t="s">
        <v>244</v>
      </c>
      <c r="C4" s="1" t="s">
        <v>242</v>
      </c>
      <c r="D4" s="1" t="s">
        <v>193</v>
      </c>
      <c r="E4" s="1" t="s">
        <v>200</v>
      </c>
      <c r="F4" s="1" t="s">
        <v>192</v>
      </c>
      <c r="G4" s="9" t="s">
        <v>241</v>
      </c>
      <c r="H4" s="1" t="s">
        <v>243</v>
      </c>
    </row>
    <row r="5" spans="2:10" x14ac:dyDescent="0.3">
      <c r="B5" cm="1">
        <f t="array" ref="B5:B23">_xlfn.SEQUENCE(ROWS(_xlfn.ANCHORARRAY(C5)))</f>
        <v>1</v>
      </c>
      <c r="C5" t="str" cm="1">
        <f t="array" ref="C5:H23">_xlfn.LET(
   _xlpm.commands, _xlfn.VSTACK(A:Z!C8:G10000),
   _xlpm.colls, _xlfn.CHOOSECOLS(_xlpm.commands, 3),
   _xlpm.botcommands, _xlfn._xlws.FILTER(_xlfn.CHOOSECOLS(_xlpm.commands, {1,2,3,4,5}), (LEN(_xlpm.colls)&gt;0)+(_xlpm.colls = "A-ZTraining")),
   _xlpm.botcommandnames, _xlfn.TAKE(_xlpm.botcommands, , 1),
   _xlpm.unqcommands, _xlfn.UNIQUE(_xlpm.botcommands),
   _xlpm.unqcommandnames, _xlfn.TAKE(_xlpm.unqcommands, , 1),
   _xlpm.unqcount, _xlfn.BYROW(--(_xlpm.unqcommandnames = TRANSPOSE(_xlpm.botcommandnames)), _xleta.SUM),
_xlpm.unqcollection,_xlfn.CHOOSECOLS(_xlpm.unqcommands,3),
   _xlpm.unqcasespecific, --_xlfn.TAKE(_xlpm.unqcommands, , -1),
   _xlpm.unqshortcut, IF(_xlfn.CHOOSECOLS(_xlpm.unqcommands, 2) = 0, "", _xlfn.CHOOSECOLS(_xlpm.unqcommands, 2)),
   _xlpm.unqdesc, _xlfn.CHOOSECOLS(_xlpm.unqcommands,  4),
   _xlpm.unqout, _xlfn.HSTACK(_xlpm.unqcommandnames, _xlpm.unqshortcut, _xlpm.unqcollection, _xlpm.unqdesc, _xlpm.unqcasespecific, _xlpm.unqcount),
   _xlpm.out, _xlfn.SORTBY(_xlpm.unqout, _xlpm.unqcount, -1, _xlpm.unqcasespecific, 1),
   _xlpm.out
)</f>
        <v>Move Right 1</v>
      </c>
      <c r="D5" t="str">
        <v/>
      </c>
      <c r="E5" t="str">
        <v>A-ZTraining</v>
      </c>
      <c r="F5" t="str">
        <v>Navigation only - moves a cell to the right</v>
      </c>
      <c r="G5" s="8">
        <v>0</v>
      </c>
      <c r="H5">
        <v>8</v>
      </c>
    </row>
    <row r="6" spans="2:10" x14ac:dyDescent="0.3">
      <c r="B6">
        <v>2</v>
      </c>
      <c r="C6" t="str">
        <v>If Error Then Zero (0)</v>
      </c>
      <c r="D6" t="str">
        <v>E0</v>
      </c>
      <c r="E6" t="str">
        <v>Array Robot</v>
      </c>
      <c r="F6" t="str">
        <v>Replaces errors with a 0</v>
      </c>
      <c r="G6" s="8">
        <v>0</v>
      </c>
      <c r="H6">
        <v>4</v>
      </c>
    </row>
    <row r="7" spans="2:10" x14ac:dyDescent="0.3">
      <c r="B7">
        <v>3</v>
      </c>
      <c r="C7" t="str">
        <v>Duplicate Array to Right</v>
      </c>
      <c r="D7" t="str">
        <v>Ctrl-Shift-R</v>
      </c>
      <c r="E7" t="str">
        <v>Array Robot</v>
      </c>
      <c r="F7" t="str">
        <v>Copies current array to the right</v>
      </c>
      <c r="G7" s="8">
        <v>0</v>
      </c>
      <c r="H7">
        <v>4</v>
      </c>
    </row>
    <row r="8" spans="2:10" x14ac:dyDescent="0.3">
      <c r="B8">
        <v>4</v>
      </c>
      <c r="C8" t="str">
        <v>Remove Blank Rows and Columns</v>
      </c>
      <c r="D8" t="str">
        <v>RB</v>
      </c>
      <c r="E8" t="str">
        <v>Array Robot</v>
      </c>
      <c r="F8" t="str">
        <v>Removes the rows and columns that are blank or all zeroes</v>
      </c>
      <c r="G8" s="8">
        <v>0</v>
      </c>
      <c r="H8">
        <v>3</v>
      </c>
    </row>
    <row r="9" spans="2:10" x14ac:dyDescent="0.3">
      <c r="B9">
        <v>5</v>
      </c>
      <c r="C9" t="str">
        <v>Reshape to One (1) Column</v>
      </c>
      <c r="D9" t="str">
        <v>1C</v>
      </c>
      <c r="E9" t="str">
        <v>Array Robot</v>
      </c>
      <c r="F9" t="str">
        <v>Applies a TOCOL</v>
      </c>
      <c r="G9" s="8">
        <v>0</v>
      </c>
      <c r="H9">
        <v>3</v>
      </c>
    </row>
    <row r="10" spans="2:10" x14ac:dyDescent="0.3">
      <c r="B10">
        <v>6</v>
      </c>
      <c r="C10" t="str">
        <v>Multiply Array by Left Most Array</v>
      </c>
      <c r="D10" t="str">
        <v>MAL</v>
      </c>
      <c r="E10" t="str">
        <v>A-ZTraining</v>
      </c>
      <c r="F10" t="str">
        <v>Multiplies the current array with the left most array in the current cell region</v>
      </c>
      <c r="G10" s="8">
        <v>0</v>
      </c>
      <c r="H10">
        <v>2</v>
      </c>
    </row>
    <row r="11" spans="2:10" x14ac:dyDescent="0.3">
      <c r="B11">
        <v>7</v>
      </c>
      <c r="C11" t="str">
        <v>XMATCH with Array 2 Rows Up</v>
      </c>
      <c r="D11" t="str">
        <v>M2U</v>
      </c>
      <c r="E11" t="str">
        <v>A-ZTraining</v>
      </c>
      <c r="F11" t="str">
        <v>Finds XMATCH of values in current array with array 2 cells up (can be the spilled range)</v>
      </c>
      <c r="G11" s="8">
        <v>0</v>
      </c>
      <c r="H11">
        <v>2</v>
      </c>
    </row>
    <row r="12" spans="2:10" x14ac:dyDescent="0.3">
      <c r="B12">
        <v>8</v>
      </c>
      <c r="C12" t="str">
        <v>Max of Array</v>
      </c>
      <c r="D12" t="str">
        <v>MAX</v>
      </c>
      <c r="E12" t="str">
        <v>Array Robot</v>
      </c>
      <c r="F12" t="str">
        <v>Returns the maximum value of the array</v>
      </c>
      <c r="G12" s="8">
        <v>0</v>
      </c>
      <c r="H12">
        <v>2</v>
      </c>
    </row>
    <row r="13" spans="2:10" x14ac:dyDescent="0.3">
      <c r="B13">
        <v>9</v>
      </c>
      <c r="C13" t="str">
        <v>Duplicate Formula to Right</v>
      </c>
      <c r="D13" t="str">
        <v>DFR</v>
      </c>
      <c r="E13" t="str">
        <v>A-ZTraining</v>
      </c>
      <c r="F13" t="str">
        <v>Copies formula in current cell to the right as exact formula (arrays only)</v>
      </c>
      <c r="G13" s="8">
        <v>0</v>
      </c>
      <c r="H13">
        <v>2</v>
      </c>
    </row>
    <row r="14" spans="2:10" x14ac:dyDescent="0.3">
      <c r="B14">
        <v>10</v>
      </c>
      <c r="C14" t="str">
        <v>Move Left 1</v>
      </c>
      <c r="D14" t="str">
        <v/>
      </c>
      <c r="E14" t="str">
        <v>A-ZTraining</v>
      </c>
      <c r="F14" t="str">
        <v>Navigation only - moves a cell to the left</v>
      </c>
      <c r="G14" s="8">
        <v>0</v>
      </c>
      <c r="H14">
        <v>2</v>
      </c>
    </row>
    <row r="15" spans="2:10" x14ac:dyDescent="0.3">
      <c r="B15">
        <v>11</v>
      </c>
      <c r="C15" t="str">
        <v>XLOOKUP Value in Arrays to Left</v>
      </c>
      <c r="D15" t="str">
        <v>LL</v>
      </c>
      <c r="E15" t="str">
        <v>A-ZTraining</v>
      </c>
      <c r="F15" t="str">
        <v>Looks up current cell value in array 1 cell to the left, returning values from array 2 cells to the left</v>
      </c>
      <c r="G15" s="8">
        <v>0</v>
      </c>
      <c r="H15">
        <v>2</v>
      </c>
    </row>
    <row r="16" spans="2:10" x14ac:dyDescent="0.3">
      <c r="B16">
        <v>12</v>
      </c>
      <c r="C16" t="str">
        <v>Create Data Table from Array</v>
      </c>
      <c r="D16" t="str">
        <v>DTA</v>
      </c>
      <c r="E16" t="str">
        <v>A-ZTraining</v>
      </c>
      <c r="F16" t="str">
        <v>Creates a data table to the right of the selected array - assumes array has a header and first column is lookup</v>
      </c>
      <c r="G16" s="8">
        <v>0</v>
      </c>
      <c r="H16">
        <v>1</v>
      </c>
    </row>
    <row r="17" spans="2:8" x14ac:dyDescent="0.3">
      <c r="B17">
        <v>13</v>
      </c>
      <c r="C17" t="str">
        <v>Get Array 2 Up</v>
      </c>
      <c r="D17" t="str">
        <v>A2U</v>
      </c>
      <c r="E17" t="str">
        <v>A-ZTraining</v>
      </c>
      <c r="F17" t="str">
        <v>Gets the array which spills into the cell 2 directly up from the active cell</v>
      </c>
      <c r="G17" s="8">
        <v>0</v>
      </c>
      <c r="H17">
        <v>1</v>
      </c>
    </row>
    <row r="18" spans="2:8" x14ac:dyDescent="0.3">
      <c r="B18">
        <v>14</v>
      </c>
      <c r="C18" t="str">
        <v>Indirect</v>
      </c>
      <c r="D18" t="str">
        <v>IND</v>
      </c>
      <c r="E18" t="str">
        <v>A-ZTraining</v>
      </c>
      <c r="F18" t="str">
        <v>Gets indirect of current cell value</v>
      </c>
      <c r="G18" s="8">
        <v>0</v>
      </c>
      <c r="H18">
        <v>1</v>
      </c>
    </row>
    <row r="19" spans="2:8" x14ac:dyDescent="0.3">
      <c r="B19">
        <v>15</v>
      </c>
      <c r="C19" t="str">
        <v>Link Answer Cell</v>
      </c>
      <c r="D19" t="str">
        <v>ANS</v>
      </c>
      <c r="E19" t="str">
        <v>A-ZTraining</v>
      </c>
      <c r="F19" t="str">
        <v>Links the data table ANSWER cell to the currently selected cell</v>
      </c>
      <c r="G19" s="8">
        <v>0</v>
      </c>
      <c r="H19">
        <v>1</v>
      </c>
    </row>
    <row r="20" spans="2:8" x14ac:dyDescent="0.3">
      <c r="B20">
        <v>16</v>
      </c>
      <c r="C20" t="str">
        <v>A - Get Range Name</v>
      </c>
      <c r="D20" t="str">
        <v/>
      </c>
      <c r="E20" t="str">
        <v>A-ZTraining</v>
      </c>
      <c r="F20" t="str">
        <v>Gets name of shape range from input array</v>
      </c>
      <c r="G20" s="8">
        <v>1</v>
      </c>
      <c r="H20">
        <v>1</v>
      </c>
    </row>
    <row r="21" spans="2:8" x14ac:dyDescent="0.3">
      <c r="B21">
        <v>17</v>
      </c>
      <c r="C21" t="str">
        <v>A - Link to range Bingo1</v>
      </c>
      <c r="D21" t="str">
        <v/>
      </c>
      <c r="E21" t="str">
        <v>A-ZTraining</v>
      </c>
      <c r="F21" t="str">
        <v>links to Bingo1 named range</v>
      </c>
      <c r="G21" s="8">
        <v>1</v>
      </c>
      <c r="H21">
        <v>1</v>
      </c>
    </row>
    <row r="22" spans="2:8" x14ac:dyDescent="0.3">
      <c r="B22">
        <v>18</v>
      </c>
      <c r="C22" t="str">
        <v>A - Link to range Bingo2</v>
      </c>
      <c r="D22" t="str">
        <v/>
      </c>
      <c r="E22" t="str">
        <v>A-ZTraining</v>
      </c>
      <c r="F22" t="str">
        <v>links to Bingo2 named range</v>
      </c>
      <c r="G22" s="8">
        <v>1</v>
      </c>
      <c r="H22">
        <v>1</v>
      </c>
    </row>
    <row r="23" spans="2:8" x14ac:dyDescent="0.3">
      <c r="B23">
        <v>19</v>
      </c>
      <c r="C23" t="str">
        <v>A - Calculations for Answer</v>
      </c>
      <c r="D23" t="str">
        <v/>
      </c>
      <c r="E23" t="str">
        <v>A-ZTraining</v>
      </c>
      <c r="F23" t="str">
        <v>Sets up final calculation explicitly for this file</v>
      </c>
      <c r="G23" s="8">
        <v>1</v>
      </c>
      <c r="H23">
        <v>1</v>
      </c>
    </row>
  </sheetData>
  <conditionalFormatting sqref="G5:G497">
    <cfRule type="iconSet" priority="2">
      <iconSet iconSet="3Symbols2" showValue="0">
        <cfvo type="percent" val="0"/>
        <cfvo type="num" val="0" gte="0"/>
        <cfvo type="num" val="1"/>
      </iconSet>
    </cfRule>
  </conditionalFormatting>
  <conditionalFormatting sqref="H5:H497">
    <cfRule type="dataBar" priority="1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{3560A1BC-CB8A-4B52-9BC0-B0043006E6E5}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560A1BC-CB8A-4B52-9BC0-B0043006E6E5}">
            <x14:dataBar minLength="0" maxLength="100" gradient="0">
              <x14:cfvo type="autoMin"/>
              <x14:cfvo type="max"/>
              <x14:negativeFillColor rgb="FFFF0000"/>
              <x14:axisColor rgb="FF000000"/>
            </x14:dataBar>
          </x14:cfRule>
          <xm:sqref>H5:H497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28DB6-4156-47AD-8093-12C39791DC52}">
  <sheetPr codeName="Sheet4"/>
  <dimension ref="B2:H49"/>
  <sheetViews>
    <sheetView showGridLines="0" zoomScale="80" zoomScaleNormal="80" workbookViewId="0">
      <pane ySplit="2" topLeftCell="A3" activePane="bottomLeft" state="frozenSplit"/>
      <selection pane="bottomLeft" activeCell="A3" sqref="A3"/>
    </sheetView>
  </sheetViews>
  <sheetFormatPr defaultRowHeight="18.75" x14ac:dyDescent="0.3"/>
  <cols>
    <col min="1" max="1" width="1.69921875" customWidth="1"/>
    <col min="3" max="5" width="28.19921875" customWidth="1"/>
    <col min="6" max="6" width="85.3984375" bestFit="1" customWidth="1"/>
    <col min="7" max="7" width="11.59765625" bestFit="1" customWidth="1"/>
  </cols>
  <sheetData>
    <row r="2" spans="2:8" ht="20.25" thickBot="1" x14ac:dyDescent="0.35">
      <c r="B2" s="6" t="s">
        <v>133</v>
      </c>
      <c r="C2" s="6"/>
      <c r="D2" s="6"/>
      <c r="E2" s="6"/>
      <c r="F2" s="6"/>
      <c r="G2" s="6"/>
      <c r="H2" s="6"/>
    </row>
    <row r="3" spans="2:8" ht="19.5" thickTop="1" x14ac:dyDescent="0.3"/>
    <row r="4" spans="2:8" x14ac:dyDescent="0.3">
      <c r="B4" s="1" t="s">
        <v>190</v>
      </c>
      <c r="C4" s="1" t="s">
        <v>191</v>
      </c>
      <c r="D4" s="1" t="s">
        <v>193</v>
      </c>
      <c r="E4" s="1" t="s">
        <v>200</v>
      </c>
      <c r="F4" s="1" t="s">
        <v>192</v>
      </c>
      <c r="G4" s="1" t="s">
        <v>241</v>
      </c>
    </row>
    <row r="5" spans="2:8" x14ac:dyDescent="0.3">
      <c r="B5" cm="1">
        <f t="array" ref="B5:B49">_xlfn.SEQUENCE(COUNTA(_xlfn._TRO_ALL(C:C))-1)</f>
        <v>1</v>
      </c>
      <c r="C5" t="s">
        <v>258</v>
      </c>
      <c r="D5" t="s">
        <v>197</v>
      </c>
      <c r="E5" t="s">
        <v>201</v>
      </c>
      <c r="F5" t="s">
        <v>198</v>
      </c>
      <c r="G5" s="7" t="b">
        <v>1</v>
      </c>
    </row>
    <row r="6" spans="2:8" x14ac:dyDescent="0.3">
      <c r="B6">
        <v>2</v>
      </c>
      <c r="C6" t="s">
        <v>194</v>
      </c>
      <c r="D6" t="s">
        <v>195</v>
      </c>
      <c r="E6" t="s">
        <v>201</v>
      </c>
      <c r="F6" t="s">
        <v>196</v>
      </c>
      <c r="G6" s="7" t="b">
        <v>0</v>
      </c>
    </row>
    <row r="7" spans="2:8" x14ac:dyDescent="0.3">
      <c r="B7">
        <v>3</v>
      </c>
      <c r="C7" t="s">
        <v>245</v>
      </c>
      <c r="E7" t="s">
        <v>201</v>
      </c>
      <c r="F7" t="s">
        <v>199</v>
      </c>
      <c r="G7" s="7" t="b">
        <v>1</v>
      </c>
    </row>
    <row r="8" spans="2:8" x14ac:dyDescent="0.3">
      <c r="B8">
        <v>4</v>
      </c>
      <c r="C8" t="s">
        <v>202</v>
      </c>
      <c r="D8" t="s">
        <v>203</v>
      </c>
      <c r="E8" t="s">
        <v>204</v>
      </c>
      <c r="F8" t="s">
        <v>205</v>
      </c>
      <c r="G8" s="7" t="b">
        <v>0</v>
      </c>
    </row>
    <row r="9" spans="2:8" x14ac:dyDescent="0.3">
      <c r="B9">
        <v>5</v>
      </c>
      <c r="C9" t="s">
        <v>206</v>
      </c>
      <c r="D9" t="s">
        <v>250</v>
      </c>
      <c r="E9" t="s">
        <v>201</v>
      </c>
      <c r="F9" t="s">
        <v>207</v>
      </c>
      <c r="G9" s="7" t="b">
        <v>0</v>
      </c>
    </row>
    <row r="10" spans="2:8" x14ac:dyDescent="0.3">
      <c r="B10">
        <v>6</v>
      </c>
      <c r="C10" t="s">
        <v>208</v>
      </c>
      <c r="E10" t="s">
        <v>201</v>
      </c>
      <c r="F10" t="s">
        <v>209</v>
      </c>
      <c r="G10" s="7" t="b">
        <v>0</v>
      </c>
    </row>
    <row r="11" spans="2:8" x14ac:dyDescent="0.3">
      <c r="B11">
        <v>7</v>
      </c>
      <c r="C11" t="s">
        <v>208</v>
      </c>
      <c r="E11" t="s">
        <v>201</v>
      </c>
      <c r="F11" t="s">
        <v>209</v>
      </c>
      <c r="G11" s="7" t="b">
        <v>0</v>
      </c>
    </row>
    <row r="12" spans="2:8" x14ac:dyDescent="0.3">
      <c r="B12">
        <v>8</v>
      </c>
      <c r="C12" t="s">
        <v>208</v>
      </c>
      <c r="E12" t="s">
        <v>201</v>
      </c>
      <c r="F12" t="s">
        <v>209</v>
      </c>
      <c r="G12" s="7" t="b">
        <v>0</v>
      </c>
    </row>
    <row r="13" spans="2:8" x14ac:dyDescent="0.3">
      <c r="B13">
        <v>9</v>
      </c>
      <c r="C13" t="s">
        <v>251</v>
      </c>
      <c r="D13" t="s">
        <v>252</v>
      </c>
      <c r="E13" t="s">
        <v>201</v>
      </c>
      <c r="F13" t="s">
        <v>253</v>
      </c>
      <c r="G13" s="7" t="b">
        <v>0</v>
      </c>
    </row>
    <row r="14" spans="2:8" x14ac:dyDescent="0.3">
      <c r="B14">
        <v>10</v>
      </c>
      <c r="C14" t="s">
        <v>216</v>
      </c>
      <c r="E14" t="s">
        <v>201</v>
      </c>
      <c r="F14" t="s">
        <v>210</v>
      </c>
      <c r="G14" s="7" t="b">
        <v>1</v>
      </c>
    </row>
    <row r="15" spans="2:8" x14ac:dyDescent="0.3">
      <c r="B15">
        <v>11</v>
      </c>
      <c r="C15" t="s">
        <v>211</v>
      </c>
      <c r="D15" t="s">
        <v>212</v>
      </c>
      <c r="E15" t="s">
        <v>201</v>
      </c>
      <c r="F15" t="s">
        <v>213</v>
      </c>
      <c r="G15" s="7" t="b">
        <v>0</v>
      </c>
    </row>
    <row r="16" spans="2:8" x14ac:dyDescent="0.3">
      <c r="B16">
        <v>12</v>
      </c>
      <c r="C16" t="s">
        <v>256</v>
      </c>
      <c r="D16" t="s">
        <v>214</v>
      </c>
      <c r="E16" t="s">
        <v>204</v>
      </c>
      <c r="F16" t="s">
        <v>215</v>
      </c>
      <c r="G16" s="7" t="b">
        <v>0</v>
      </c>
    </row>
    <row r="17" spans="2:7" x14ac:dyDescent="0.3">
      <c r="B17">
        <v>13</v>
      </c>
      <c r="C17" t="s">
        <v>208</v>
      </c>
      <c r="E17" t="s">
        <v>201</v>
      </c>
      <c r="F17" t="s">
        <v>209</v>
      </c>
      <c r="G17" s="7" t="b">
        <v>0</v>
      </c>
    </row>
    <row r="18" spans="2:7" x14ac:dyDescent="0.3">
      <c r="B18">
        <v>14</v>
      </c>
      <c r="C18" t="s">
        <v>246</v>
      </c>
      <c r="E18" t="s">
        <v>201</v>
      </c>
      <c r="F18" t="s">
        <v>235</v>
      </c>
      <c r="G18" s="7" t="b">
        <v>1</v>
      </c>
    </row>
    <row r="19" spans="2:7" x14ac:dyDescent="0.3">
      <c r="B19">
        <v>15</v>
      </c>
      <c r="C19" t="s">
        <v>202</v>
      </c>
      <c r="D19" t="s">
        <v>203</v>
      </c>
      <c r="E19" t="s">
        <v>204</v>
      </c>
      <c r="F19" t="s">
        <v>205</v>
      </c>
      <c r="G19" s="7" t="b">
        <v>0</v>
      </c>
    </row>
    <row r="20" spans="2:7" x14ac:dyDescent="0.3">
      <c r="B20">
        <v>16</v>
      </c>
      <c r="C20" t="s">
        <v>256</v>
      </c>
      <c r="D20" t="s">
        <v>214</v>
      </c>
      <c r="E20" t="s">
        <v>204</v>
      </c>
      <c r="F20" t="s">
        <v>215</v>
      </c>
      <c r="G20" s="7" t="b">
        <v>0</v>
      </c>
    </row>
    <row r="21" spans="2:7" x14ac:dyDescent="0.3">
      <c r="B21">
        <v>17</v>
      </c>
      <c r="C21" t="s">
        <v>220</v>
      </c>
      <c r="D21" t="s">
        <v>221</v>
      </c>
      <c r="E21" t="s">
        <v>201</v>
      </c>
      <c r="F21" t="s">
        <v>222</v>
      </c>
      <c r="G21" s="7" t="b">
        <v>0</v>
      </c>
    </row>
    <row r="22" spans="2:7" x14ac:dyDescent="0.3">
      <c r="B22">
        <v>18</v>
      </c>
      <c r="C22" t="s">
        <v>223</v>
      </c>
      <c r="D22" t="s">
        <v>224</v>
      </c>
      <c r="E22" t="s">
        <v>204</v>
      </c>
      <c r="F22" t="s">
        <v>225</v>
      </c>
      <c r="G22" s="7" t="b">
        <v>0</v>
      </c>
    </row>
    <row r="23" spans="2:7" x14ac:dyDescent="0.3">
      <c r="B23">
        <v>19</v>
      </c>
      <c r="C23" t="s">
        <v>217</v>
      </c>
      <c r="D23" t="s">
        <v>218</v>
      </c>
      <c r="E23" t="s">
        <v>204</v>
      </c>
      <c r="F23" t="s">
        <v>219</v>
      </c>
      <c r="G23" s="7" t="b">
        <v>0</v>
      </c>
    </row>
    <row r="24" spans="2:7" x14ac:dyDescent="0.3">
      <c r="B24">
        <v>20</v>
      </c>
      <c r="C24" t="s">
        <v>257</v>
      </c>
      <c r="D24" t="s">
        <v>226</v>
      </c>
      <c r="E24" t="s">
        <v>201</v>
      </c>
      <c r="F24" t="s">
        <v>227</v>
      </c>
      <c r="G24" s="7" t="b">
        <v>0</v>
      </c>
    </row>
    <row r="25" spans="2:7" x14ac:dyDescent="0.3">
      <c r="B25">
        <v>21</v>
      </c>
      <c r="C25" t="s">
        <v>223</v>
      </c>
      <c r="D25" t="s">
        <v>224</v>
      </c>
      <c r="E25" t="s">
        <v>204</v>
      </c>
      <c r="F25" t="s">
        <v>225</v>
      </c>
      <c r="G25" s="7" t="b">
        <v>0</v>
      </c>
    </row>
    <row r="26" spans="2:7" x14ac:dyDescent="0.3">
      <c r="B26">
        <v>22</v>
      </c>
      <c r="C26" t="s">
        <v>217</v>
      </c>
      <c r="D26" t="s">
        <v>218</v>
      </c>
      <c r="E26" t="s">
        <v>204</v>
      </c>
      <c r="F26" t="s">
        <v>219</v>
      </c>
      <c r="G26" s="7" t="b">
        <v>0</v>
      </c>
    </row>
    <row r="27" spans="2:7" x14ac:dyDescent="0.3">
      <c r="B27">
        <v>23</v>
      </c>
      <c r="C27" t="s">
        <v>228</v>
      </c>
      <c r="D27" t="s">
        <v>229</v>
      </c>
      <c r="E27" t="s">
        <v>204</v>
      </c>
      <c r="F27" t="s">
        <v>230</v>
      </c>
      <c r="G27" s="7" t="b">
        <v>0</v>
      </c>
    </row>
    <row r="28" spans="2:7" x14ac:dyDescent="0.3">
      <c r="B28">
        <v>24</v>
      </c>
      <c r="C28" t="s">
        <v>269</v>
      </c>
      <c r="D28" t="s">
        <v>248</v>
      </c>
      <c r="E28" t="s">
        <v>201</v>
      </c>
      <c r="F28" t="s">
        <v>249</v>
      </c>
      <c r="G28" s="7" t="b">
        <v>0</v>
      </c>
    </row>
    <row r="29" spans="2:7" x14ac:dyDescent="0.3">
      <c r="B29">
        <v>25</v>
      </c>
      <c r="C29" t="s">
        <v>254</v>
      </c>
      <c r="E29" t="s">
        <v>201</v>
      </c>
      <c r="F29" t="s">
        <v>255</v>
      </c>
      <c r="G29" s="7" t="b">
        <v>0</v>
      </c>
    </row>
    <row r="30" spans="2:7" x14ac:dyDescent="0.3">
      <c r="B30">
        <v>26</v>
      </c>
      <c r="C30" t="s">
        <v>231</v>
      </c>
      <c r="D30" t="s">
        <v>232</v>
      </c>
      <c r="E30" t="s">
        <v>201</v>
      </c>
      <c r="F30" t="s">
        <v>233</v>
      </c>
      <c r="G30" s="7" t="b">
        <v>0</v>
      </c>
    </row>
    <row r="31" spans="2:7" x14ac:dyDescent="0.3">
      <c r="B31">
        <v>27</v>
      </c>
      <c r="C31" t="s">
        <v>208</v>
      </c>
      <c r="E31" t="s">
        <v>201</v>
      </c>
      <c r="F31" t="s">
        <v>209</v>
      </c>
      <c r="G31" s="7" t="b">
        <v>0</v>
      </c>
    </row>
    <row r="32" spans="2:7" x14ac:dyDescent="0.3">
      <c r="B32">
        <v>28</v>
      </c>
      <c r="C32" t="s">
        <v>208</v>
      </c>
      <c r="E32" t="s">
        <v>201</v>
      </c>
      <c r="F32" t="s">
        <v>209</v>
      </c>
      <c r="G32" s="7" t="b">
        <v>0</v>
      </c>
    </row>
    <row r="33" spans="2:7" x14ac:dyDescent="0.3">
      <c r="B33">
        <v>29</v>
      </c>
      <c r="C33" t="s">
        <v>247</v>
      </c>
      <c r="E33" t="s">
        <v>201</v>
      </c>
      <c r="F33" t="s">
        <v>234</v>
      </c>
      <c r="G33" s="7" t="b">
        <v>1</v>
      </c>
    </row>
    <row r="34" spans="2:7" x14ac:dyDescent="0.3">
      <c r="B34">
        <v>30</v>
      </c>
      <c r="C34" t="s">
        <v>202</v>
      </c>
      <c r="D34" t="s">
        <v>203</v>
      </c>
      <c r="E34" t="s">
        <v>204</v>
      </c>
      <c r="F34" t="s">
        <v>205</v>
      </c>
      <c r="G34" s="7" t="b">
        <v>0</v>
      </c>
    </row>
    <row r="35" spans="2:7" x14ac:dyDescent="0.3">
      <c r="B35">
        <v>31</v>
      </c>
      <c r="C35" t="s">
        <v>256</v>
      </c>
      <c r="D35" t="s">
        <v>214</v>
      </c>
      <c r="E35" t="s">
        <v>204</v>
      </c>
      <c r="F35" t="s">
        <v>215</v>
      </c>
      <c r="G35" s="7" t="b">
        <v>0</v>
      </c>
    </row>
    <row r="36" spans="2:7" x14ac:dyDescent="0.3">
      <c r="B36">
        <v>32</v>
      </c>
      <c r="C36" t="s">
        <v>220</v>
      </c>
      <c r="D36" t="s">
        <v>221</v>
      </c>
      <c r="E36" t="s">
        <v>201</v>
      </c>
      <c r="F36" t="s">
        <v>222</v>
      </c>
      <c r="G36" s="7" t="b">
        <v>0</v>
      </c>
    </row>
    <row r="37" spans="2:7" x14ac:dyDescent="0.3">
      <c r="B37">
        <v>33</v>
      </c>
      <c r="C37" t="s">
        <v>223</v>
      </c>
      <c r="D37" t="s">
        <v>224</v>
      </c>
      <c r="E37" t="s">
        <v>204</v>
      </c>
      <c r="F37" t="s">
        <v>225</v>
      </c>
      <c r="G37" s="7" t="b">
        <v>0</v>
      </c>
    </row>
    <row r="38" spans="2:7" x14ac:dyDescent="0.3">
      <c r="B38">
        <v>34</v>
      </c>
      <c r="C38" t="s">
        <v>217</v>
      </c>
      <c r="D38" t="s">
        <v>218</v>
      </c>
      <c r="E38" t="s">
        <v>204</v>
      </c>
      <c r="F38" t="s">
        <v>219</v>
      </c>
      <c r="G38" s="7" t="b">
        <v>0</v>
      </c>
    </row>
    <row r="39" spans="2:7" x14ac:dyDescent="0.3">
      <c r="B39">
        <v>35</v>
      </c>
      <c r="C39" t="s">
        <v>257</v>
      </c>
      <c r="D39" t="s">
        <v>226</v>
      </c>
      <c r="E39" t="s">
        <v>201</v>
      </c>
      <c r="F39" t="s">
        <v>227</v>
      </c>
      <c r="G39" s="7" t="b">
        <v>0</v>
      </c>
    </row>
    <row r="40" spans="2:7" x14ac:dyDescent="0.3">
      <c r="B40">
        <v>36</v>
      </c>
      <c r="C40" t="s">
        <v>223</v>
      </c>
      <c r="D40" t="s">
        <v>224</v>
      </c>
      <c r="E40" t="s">
        <v>204</v>
      </c>
      <c r="F40" t="s">
        <v>225</v>
      </c>
      <c r="G40" s="7" t="b">
        <v>0</v>
      </c>
    </row>
    <row r="41" spans="2:7" x14ac:dyDescent="0.3">
      <c r="B41">
        <v>37</v>
      </c>
      <c r="C41" t="s">
        <v>217</v>
      </c>
      <c r="D41" t="s">
        <v>218</v>
      </c>
      <c r="E41" t="s">
        <v>204</v>
      </c>
      <c r="F41" t="s">
        <v>219</v>
      </c>
      <c r="G41" s="7" t="b">
        <v>0</v>
      </c>
    </row>
    <row r="42" spans="2:7" x14ac:dyDescent="0.3">
      <c r="B42">
        <v>38</v>
      </c>
      <c r="C42" t="s">
        <v>228</v>
      </c>
      <c r="D42" t="s">
        <v>229</v>
      </c>
      <c r="E42" t="s">
        <v>204</v>
      </c>
      <c r="F42" t="s">
        <v>230</v>
      </c>
      <c r="G42" s="7" t="b">
        <v>0</v>
      </c>
    </row>
    <row r="43" spans="2:7" x14ac:dyDescent="0.3">
      <c r="B43">
        <v>39</v>
      </c>
      <c r="C43" t="s">
        <v>269</v>
      </c>
      <c r="D43" t="s">
        <v>248</v>
      </c>
      <c r="E43" t="s">
        <v>201</v>
      </c>
      <c r="F43" t="s">
        <v>249</v>
      </c>
      <c r="G43" s="7" t="b">
        <v>0</v>
      </c>
    </row>
    <row r="44" spans="2:7" x14ac:dyDescent="0.3">
      <c r="B44">
        <v>40</v>
      </c>
      <c r="C44" t="s">
        <v>254</v>
      </c>
      <c r="E44" t="s">
        <v>201</v>
      </c>
      <c r="F44" t="s">
        <v>255</v>
      </c>
      <c r="G44" s="7" t="b">
        <v>0</v>
      </c>
    </row>
    <row r="45" spans="2:7" x14ac:dyDescent="0.3">
      <c r="B45">
        <v>41</v>
      </c>
      <c r="C45" t="s">
        <v>231</v>
      </c>
      <c r="D45" t="s">
        <v>232</v>
      </c>
      <c r="E45" t="s">
        <v>201</v>
      </c>
      <c r="F45" t="s">
        <v>233</v>
      </c>
      <c r="G45" s="7" t="b">
        <v>0</v>
      </c>
    </row>
    <row r="46" spans="2:7" x14ac:dyDescent="0.3">
      <c r="B46">
        <v>42</v>
      </c>
      <c r="C46" t="s">
        <v>208</v>
      </c>
      <c r="E46" t="s">
        <v>201</v>
      </c>
      <c r="F46" t="s">
        <v>209</v>
      </c>
      <c r="G46" s="7" t="b">
        <v>0</v>
      </c>
    </row>
    <row r="47" spans="2:7" x14ac:dyDescent="0.3">
      <c r="B47">
        <v>43</v>
      </c>
      <c r="C47" t="s">
        <v>208</v>
      </c>
      <c r="E47" t="s">
        <v>201</v>
      </c>
      <c r="F47" t="s">
        <v>209</v>
      </c>
      <c r="G47" s="7" t="b">
        <v>0</v>
      </c>
    </row>
    <row r="48" spans="2:7" x14ac:dyDescent="0.3">
      <c r="B48">
        <v>44</v>
      </c>
      <c r="C48" t="s">
        <v>236</v>
      </c>
      <c r="E48" t="s">
        <v>201</v>
      </c>
      <c r="F48" t="s">
        <v>237</v>
      </c>
      <c r="G48" s="7" t="b">
        <v>1</v>
      </c>
    </row>
    <row r="49" spans="2:7" x14ac:dyDescent="0.3">
      <c r="B49">
        <v>45</v>
      </c>
      <c r="C49" t="s">
        <v>238</v>
      </c>
      <c r="D49" t="s">
        <v>239</v>
      </c>
      <c r="E49" t="s">
        <v>201</v>
      </c>
      <c r="F49" t="s">
        <v>240</v>
      </c>
      <c r="G49" s="7" t="b">
        <v>0</v>
      </c>
    </row>
  </sheetData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0B888-A75D-4DD3-AEC9-F660B36BB97F}">
  <sheetPr codeName="Sheet5"/>
  <dimension ref="B2:H48"/>
  <sheetViews>
    <sheetView showGridLines="0" workbookViewId="0">
      <pane ySplit="2" topLeftCell="A3" activePane="bottomLeft" state="frozenSplit"/>
      <selection pane="bottomLeft" activeCell="A3" sqref="A3"/>
    </sheetView>
  </sheetViews>
  <sheetFormatPr defaultRowHeight="18.75" x14ac:dyDescent="0.3"/>
  <cols>
    <col min="1" max="1" width="1.69921875" customWidth="1"/>
    <col min="3" max="5" width="28.19921875" customWidth="1"/>
    <col min="6" max="6" width="85.3984375" bestFit="1" customWidth="1"/>
    <col min="7" max="7" width="11.59765625" bestFit="1" customWidth="1"/>
  </cols>
  <sheetData>
    <row r="2" spans="2:8" ht="20.25" thickBot="1" x14ac:dyDescent="0.35">
      <c r="B2" s="6" t="s">
        <v>271</v>
      </c>
      <c r="C2" s="6"/>
      <c r="D2" s="6"/>
      <c r="E2" s="6"/>
      <c r="F2" s="6"/>
      <c r="G2" s="6"/>
      <c r="H2" s="6"/>
    </row>
    <row r="3" spans="2:8" ht="19.5" thickTop="1" x14ac:dyDescent="0.3"/>
    <row r="4" spans="2:8" x14ac:dyDescent="0.3">
      <c r="B4" s="1" t="s">
        <v>190</v>
      </c>
      <c r="C4" s="1" t="s">
        <v>191</v>
      </c>
      <c r="D4" s="1" t="s">
        <v>193</v>
      </c>
      <c r="E4" s="1" t="s">
        <v>200</v>
      </c>
      <c r="F4" s="1" t="s">
        <v>192</v>
      </c>
      <c r="G4" s="1" t="s">
        <v>241</v>
      </c>
    </row>
    <row r="5" spans="2:8" x14ac:dyDescent="0.3">
      <c r="B5" t="str" cm="1">
        <f t="array" ref="B5">IFERROR(_xlfn.SEQUENCE(COUNTA(_xlfn._TRO_ALL(C:C))-1),"")</f>
        <v/>
      </c>
      <c r="G5" s="7" t="b">
        <v>0</v>
      </c>
    </row>
    <row r="6" spans="2:8" x14ac:dyDescent="0.3">
      <c r="G6" s="7" t="b">
        <v>0</v>
      </c>
    </row>
    <row r="7" spans="2:8" x14ac:dyDescent="0.3">
      <c r="G7" s="7" t="b">
        <v>0</v>
      </c>
    </row>
    <row r="8" spans="2:8" x14ac:dyDescent="0.3">
      <c r="G8" s="7" t="b">
        <v>0</v>
      </c>
    </row>
    <row r="9" spans="2:8" x14ac:dyDescent="0.3">
      <c r="G9" s="7" t="b">
        <v>0</v>
      </c>
    </row>
    <row r="10" spans="2:8" x14ac:dyDescent="0.3">
      <c r="G10" s="7" t="b">
        <v>0</v>
      </c>
    </row>
    <row r="11" spans="2:8" x14ac:dyDescent="0.3">
      <c r="G11" s="7" t="b">
        <v>0</v>
      </c>
    </row>
    <row r="12" spans="2:8" x14ac:dyDescent="0.3">
      <c r="G12" s="7" t="b">
        <v>0</v>
      </c>
    </row>
    <row r="13" spans="2:8" x14ac:dyDescent="0.3">
      <c r="G13" s="7" t="b">
        <v>0</v>
      </c>
    </row>
    <row r="14" spans="2:8" x14ac:dyDescent="0.3">
      <c r="G14" s="7" t="b">
        <v>0</v>
      </c>
    </row>
    <row r="15" spans="2:8" x14ac:dyDescent="0.3">
      <c r="G15" s="7" t="b">
        <v>0</v>
      </c>
    </row>
    <row r="16" spans="2:8" x14ac:dyDescent="0.3">
      <c r="G16" s="7" t="b">
        <v>0</v>
      </c>
    </row>
    <row r="17" spans="7:7" x14ac:dyDescent="0.3">
      <c r="G17" s="7" t="b">
        <v>0</v>
      </c>
    </row>
    <row r="18" spans="7:7" x14ac:dyDescent="0.3">
      <c r="G18" s="7" t="b">
        <v>0</v>
      </c>
    </row>
    <row r="19" spans="7:7" x14ac:dyDescent="0.3">
      <c r="G19" s="7" t="b">
        <v>0</v>
      </c>
    </row>
    <row r="20" spans="7:7" x14ac:dyDescent="0.3">
      <c r="G20" s="7" t="b">
        <v>0</v>
      </c>
    </row>
    <row r="21" spans="7:7" x14ac:dyDescent="0.3">
      <c r="G21" s="7" t="b">
        <v>0</v>
      </c>
    </row>
    <row r="22" spans="7:7" x14ac:dyDescent="0.3">
      <c r="G22" s="7" t="b">
        <v>0</v>
      </c>
    </row>
    <row r="23" spans="7:7" x14ac:dyDescent="0.3">
      <c r="G23" s="7" t="b">
        <v>0</v>
      </c>
    </row>
    <row r="24" spans="7:7" x14ac:dyDescent="0.3">
      <c r="G24" s="7" t="b">
        <v>0</v>
      </c>
    </row>
    <row r="25" spans="7:7" x14ac:dyDescent="0.3">
      <c r="G25" s="7" t="b">
        <v>0</v>
      </c>
    </row>
    <row r="26" spans="7:7" x14ac:dyDescent="0.3">
      <c r="G26" s="7" t="b">
        <v>0</v>
      </c>
    </row>
    <row r="27" spans="7:7" x14ac:dyDescent="0.3">
      <c r="G27" s="7" t="b">
        <v>0</v>
      </c>
    </row>
    <row r="28" spans="7:7" x14ac:dyDescent="0.3">
      <c r="G28" s="7" t="b">
        <v>0</v>
      </c>
    </row>
    <row r="29" spans="7:7" x14ac:dyDescent="0.3">
      <c r="G29" s="7" t="b">
        <v>0</v>
      </c>
    </row>
    <row r="30" spans="7:7" x14ac:dyDescent="0.3">
      <c r="G30" s="7" t="b">
        <v>0</v>
      </c>
    </row>
    <row r="31" spans="7:7" x14ac:dyDescent="0.3">
      <c r="G31" s="7" t="b">
        <v>0</v>
      </c>
    </row>
    <row r="32" spans="7:7" x14ac:dyDescent="0.3">
      <c r="G32" s="7" t="b">
        <v>0</v>
      </c>
    </row>
    <row r="33" spans="7:7" x14ac:dyDescent="0.3">
      <c r="G33" s="7" t="b">
        <v>0</v>
      </c>
    </row>
    <row r="34" spans="7:7" x14ac:dyDescent="0.3">
      <c r="G34" s="7" t="b">
        <v>0</v>
      </c>
    </row>
    <row r="35" spans="7:7" x14ac:dyDescent="0.3">
      <c r="G35" s="7" t="b">
        <v>0</v>
      </c>
    </row>
    <row r="36" spans="7:7" x14ac:dyDescent="0.3">
      <c r="G36" s="7" t="b">
        <v>0</v>
      </c>
    </row>
    <row r="37" spans="7:7" x14ac:dyDescent="0.3">
      <c r="G37" s="7" t="b">
        <v>0</v>
      </c>
    </row>
    <row r="38" spans="7:7" x14ac:dyDescent="0.3">
      <c r="G38" s="7" t="b">
        <v>0</v>
      </c>
    </row>
    <row r="39" spans="7:7" x14ac:dyDescent="0.3">
      <c r="G39" s="7" t="b">
        <v>0</v>
      </c>
    </row>
    <row r="40" spans="7:7" x14ac:dyDescent="0.3">
      <c r="G40" s="7" t="b">
        <v>0</v>
      </c>
    </row>
    <row r="41" spans="7:7" x14ac:dyDescent="0.3">
      <c r="G41" s="7" t="b">
        <v>0</v>
      </c>
    </row>
    <row r="42" spans="7:7" x14ac:dyDescent="0.3">
      <c r="G42" s="7" t="b">
        <v>0</v>
      </c>
    </row>
    <row r="43" spans="7:7" x14ac:dyDescent="0.3">
      <c r="G43" s="7" t="b">
        <v>0</v>
      </c>
    </row>
    <row r="44" spans="7:7" x14ac:dyDescent="0.3">
      <c r="G44" s="7" t="b">
        <v>0</v>
      </c>
    </row>
    <row r="45" spans="7:7" x14ac:dyDescent="0.3">
      <c r="G45" s="7" t="b">
        <v>0</v>
      </c>
    </row>
    <row r="46" spans="7:7" x14ac:dyDescent="0.3">
      <c r="G46" s="7" t="b">
        <v>0</v>
      </c>
    </row>
    <row r="47" spans="7:7" x14ac:dyDescent="0.3">
      <c r="G47" s="7" t="b">
        <v>0</v>
      </c>
    </row>
    <row r="48" spans="7:7" x14ac:dyDescent="0.3">
      <c r="G48" s="7" t="b">
        <v>0</v>
      </c>
    </row>
  </sheetData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JSON><![CDATA[
{
  "Commands": [
    {
      "Name": "A - Calculations for Answer",
      "Description": "A - calculations for answer.",
      "Type": "ExcelFormulaCommand",
      "Formula": "=IF([[ActiveCell.Offset(0,-1)]]<[[ActiveCell.Offset(0,-5)]],[[ActiveCell.Offset(0,-2)]],[[ActiveCell.Offset(0,-6)]])",
      "Tags": [
        "Case-Specific"
      ]
    },
    {
      "Name": "A - Get Range Name",
      "Description": "A - get range name.",
      "Type": "ExcelFormulaCommand",
      "Formula": "=\"Shape\"&TAKE(TAKE([[ActiveCell::Formula]],,-3),,1)",
      "Tags": [
        "Case-Specific"
      ]
    },
    {
      "Name": "A - Link to range Bingo1",
      "Description": "A - link to range bingo1.",
      "Type": "ExcelFormulaCommand",
      "Formula": "=Bingo1",
      "Tags": [
        "Case-Specific"
      ]
    },
    {
      "Name": "A - Link to range Bingo2",
      "Description": "A - link to range bingo2.",
      "Type": "ExcelFormulaCommand",
      "Formula": "=Bingo2",
      "Tags": [
        "Case-Specific"
      ]
    },
    {
      "Name": "A - Link to range Game",
      "Description": "A - link to range game.",
      "Type": "ExcelFormulaCommand",
      "Formula": "=Game",
      "Tags": [
        "Case-Specific"
      ]
    },
    {
      "Name": "A - Name Ranges: American Bingo",
      "Description": "Name ranges for case American Bingo!",
      "Type": "VBAMacroCommand",
      "LaunchCodes": [
        "NRA"
      ],
      "MacroExpression": "modz_AmericanBingo.NameRanges_AmericanBingo()",
      "Tags": [
        "Name"
      ]
    },
    {
      "Name": "Create Calc Sheet",
      "Description": "Creates a blank sheet for calculations",
      "Type": "VBAMacroCommand",
      "LaunchCodes": [
        "ccs",
        "calc",
        "sht"
      ],
      "MacroExpression": "modMisc.CreateBlankSheet(\"Calcs\")",
      "Tags": [
        "Prep"
      ],
      "MacroWorkbookConnection": "ThisWorkbook"
    },
    {
      "Name": "Create Data Table from Array",
      "Description": "Create data table.",
      "Type": "VBAMacroCommand",
      "LaunchCodes": [
        "DTA"
      ],
      "MacroExpression": "modArrays.CreateDataTable()",
      "Tags": [
        "Prep"
      ]
    },
    {
      "Name": "Duplicate Array Formula To Right",
      "Description": "Adds array formula to right referencing the spill range of active array.",
      "Type": "ExcelFormulaCommand",
      "UserContextFilter": "ExcelActiveCellIsInSpillingToRange",
      "LaunchCodes": [
        "df",
        "dfr"
      ],
      "Formula": "=[[ActiveCell.SpillParent::Formula]]",
      "DestinationRangeAddress": "[[ActiveCell.SpillParent.SpillingToRange.Columns(1).AdjacentBlank.Cells(1,1)]]",
      "Tags": [
        "Paste"
      ]
    },
    {
      "Name": "Duplicate Formula To Right",
      "Description": "Adds formula to right referencing the range of active formula.",
      "Type": "ExcelFormulaCommand",
      "UserContextFilter": "!ExcelActiveCellIsInSpillingToRange",
      "LaunchCodes": [
        "df",
        "dfr"
      ],
      "Formula": "=[[ActiveCell::Formula]]",
      "DestinationRangeAddress": "[[ActiveCell.Columns(1).AdjacentBlank.Cells(1,1)]]",
      "Tags": [
        "Paste"
      ]
    },
    {
      "Name": "Get Array 2 Up",
      "Description": "Links to the array 2 rows up",
      "Type": "ExcelFormulaCommand",
      "LaunchCodes": [
        "A2U"
      ],
      "Formula": "=[[ActiveCell.Offset(-2,0).SpillParent.SpillingToRange]]",
      "Tags": [
        "Select"
      ]
    },
    {
      "Name": "Indirect",
      "Description": "Indirect.",
      "Type": "ExcelFormulaCommand",
      "LaunchCodes": [
        "IND"
      ],
      "Formula": "=INDIRECT([[ActiveCell::Formula]])",
      "Tags": [
        "Formula"
      ]
    },
    {
      "Name": "Link Answer Cell",
      "Description": "Link answer cell.",
      "Type": "VBAMacroCommand",
      "LaunchCodes": [
        "ANS"
      ],
      "MacroExpression": "modArrays.LinkAnswerCell()",
      "Tags": [
        "GoTo"
      ]
    },
    {
      "Name": "Move Left 1",
      "Description": "Move left 1 cell.",
      "Type": "ExcelSendKeysCommand",
      "LaunchCodes": [
        "L"
      ],
      "Keystrokes": [
        "{LEFT}"
      ],
      "Tags": [
        "Navigation"
      ]
    },
    {
      "Name": "Move Right 1",
      "Description": "Move right 1 cell.",
      "Type": "ExcelSendKeysCommand",
      "LaunchCodes": [
        "R"
      ],
      "Keystrokes": [
        "{RIGHT}"
      ],
      "Tags": [
        "Navigation"
      ]
    },
    {
      "Name": "Multiply Array by Left Most Array",
      "Description": "Multiply array by left most array.",
      "Type": "ExcelFormulaCommand",
      "LaunchCodes": [
        "MAL"
      ],
      "Formula": "=[[ActiveCell::Formula]]*[[ActiveCell.CurrentRegion.Cells(1,1).SpillingToRange]]",
      "Tags": [
        "Formula"
      ]
    },
    {
      "Name": "Run Commands From Sheet",
      "Description": "Run commands from sheet.",
      "Type": "VBAMacroCommand",
      "LaunchCodes": [
        "run"
      ],
      "MacroExpression": "modMisc.RunCommandsFromSheet([[ActiveCell]])",
      "Tags": [
        "Misc"
      ]
    },
    {
      "Name": "Unique Rows and Columns of Array",
      "Description": "Unique rows and columns of array.",
      "Type": "ExcelFormulaCommand",
      "LaunchCodes": [
        "URC"
      ],
      "Formula": "=UNIQUE(UNIQUE([[ActiveCell::Formula]]), TRUE)",
      "Tags": [
        "Keep"
      ]
    },
    {
      "Name": "XLOOKUP Value in Arrays to Left",
      "Description": "XLOOKUP cell value in arrays to left (1 column for lookup range, 2 columns for return range).",
      "Type": "ExcelFormulaCommand",
      "UserContextFilter": "ExcelActiveCellIsNotEmpty",
      "LaunchCodes": [
        "ll"
      ],
      "Formula": "=XLOOKUP([[ActiveCell::Formula]],[[ActiveCell.Offset(0,-1).SpillParent.SpillingToRange]],[[ActiveCell.Offset(0,-2).SpillParent.SpillingToRange]])",
      "Tags": [
        "Formula"
      ]
    },
    {
      "Name": "XMATCH with Array 2 Columns Left",
      "Description": "Xmatch with left array (2 columns left).",
      "Type": "ExcelFormulaCommand",
      "LaunchCodes": [
        "M2L"
      ],
      "Formula": "=XMATCH([[ActiveCell::Formula]],[[ActiveCell.Offset(0,-2).SpillParent.SpillingToRange]],0)",
      "Tags": [
        "Formula"
      ]
    },
    {
      "Name": "XMATCH with Array 2 Rows Up",
      "Description": "Xmatch with above array (2 rows up).",
      "Type": "ExcelFormulaCommand",
      "LaunchCodes": [
        "M2U"
      ],
      "Formula": "=XMATCH([[ActiveCell::Formula]],[[ActiveCell.Offset(-2,0).SpillParent.SpillingToRange]],0)",
      "Tags": [
        "Formula"
      ]
    }
  ],
  "Texts": [
    {
      "Name": "Game.name",
      "Description": "Definition of Game.",
      "Type": "ExcelNameText",
      "ContentType": "ExcelFormula",
      "Location": "Game"
    }
  ]
}
]]></JSON>
</file>

<file path=customXml/item3.xml><?xml version="1.0" encoding="utf-8"?>
<Text><![CDATA[
]]></Text>
</file>

<file path=customXml/item4.xml><?xml version="1.0" encoding="utf-8"?>
<writeIndexDataTable>
  <xs:schema xmlns="" xmlns:xs="http://www.w3.org/2001/XMLSchema" xmlns:msdata="urn:schemas-microsoft-com:xml-msdata" id="writeIndexDataTable">
    <xs:element name="write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ItemSubtype" type="xs:string" minOccurs="0"/>
                <xs:element name="LastUpdated" type="xs:string" minOccurs="0"/>
                <xs:element name="CustomXmlPartGuid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Description/>
    <ItemType>JSON</ItemType>
    <LastUpdated>03/03/2026 15:29:28 +00:00</LastUpdated>
    <CustomXmlPartGuid>{EFEA6C09-35DD-4072-BA28-C888F6C20B0C}</CustomXmlPartGuid>
  </CustomXmlPartIndex>
  <CustomXmlPartIndex>
    <CollectionName>HotkeyCommands</CollectionName>
    <ItemName>Game.name</ItemName>
    <ItemDescription/>
    <ItemType>Text</ItemType>
    <ItemSubtype/>
    <LastUpdated>03/03/2026 15:29:28 +00:00</LastUpdated>
    <CustomXmlPartGuid>{02AE0283-EA45-4243-B75B-C851502FFAF7}</CustomXmlPartGuid>
  </CustomXmlPartIndex>
</writeIndexDataTable>
</file>

<file path=customXml/itemProps1.xml><?xml version="1.0" encoding="utf-8"?>
<ds:datastoreItem xmlns:ds="http://schemas.openxmlformats.org/officeDocument/2006/customXml" ds:itemID="{DC64176D-EFA7-460D-AF19-695B6999EEE5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EFEA6C09-35DD-4072-BA28-C888F6C20B0C}">
  <ds:schemaRefs/>
</ds:datastoreItem>
</file>

<file path=customXml/itemProps3.xml><?xml version="1.0" encoding="utf-8"?>
<ds:datastoreItem xmlns:ds="http://schemas.openxmlformats.org/officeDocument/2006/customXml" ds:itemID="{02AE0283-EA45-4243-B75B-C851502FFAF7}">
  <ds:schemaRefs/>
</ds:datastoreItem>
</file>

<file path=customXml/itemProps4.xml><?xml version="1.0" encoding="utf-8"?>
<ds:datastoreItem xmlns:ds="http://schemas.openxmlformats.org/officeDocument/2006/customXml" ds:itemID="{B5099A25-5F9D-4412-A6C0-4EABD1019535}">
  <ds:schemaRefs>
    <ds:schemaRef ds:uri=""/>
    <ds:schemaRef ds:uri="http://www.w3.org/2001/XMLSchema"/>
    <ds:schemaRef ds:uri="urn:schemas-microsoft-com:xml-ms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Info</vt:lpstr>
      <vt:lpstr>ActiveCases</vt:lpstr>
      <vt:lpstr>List</vt:lpstr>
      <vt:lpstr>A-Z</vt:lpstr>
      <vt:lpstr>Commands</vt:lpstr>
      <vt:lpstr>A</vt:lpstr>
      <vt:lpstr>Z</vt:lpstr>
      <vt:lpstr>Actual_used</vt:lpstr>
      <vt:lpstr>Random</vt:lpstr>
      <vt:lpstr>Select_Your_Access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Jaq Kennedy</dc:creator>
  <cp:lastModifiedBy>Jaq Kennedy</cp:lastModifiedBy>
  <dcterms:created xsi:type="dcterms:W3CDTF">2026-03-01T12:50:30Z</dcterms:created>
  <dcterms:modified xsi:type="dcterms:W3CDTF">2026-03-03T15:38:30Z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A Tools">
    <vt:lpwstr>{B5099A25-5F9D-4412-A6C0-4EABD1019535}</vt:lpwstr>
  </property>
  <property fmtid="{D5CDD505-2E9C-101B-9397-08002B2CF9AE}" pid="3" name="OA Tools Last Modified">
    <vt:lpwstr>2026-03-03 15:29:28 UTC</vt:lpwstr>
  </property>
</Properties>
</file>